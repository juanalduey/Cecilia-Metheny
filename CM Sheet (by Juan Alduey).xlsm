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0_ncr:8100000_{EF0DF93F-223D-4C4C-BB0B-BF56FED59B0C}" xr6:coauthVersionLast="32" xr6:coauthVersionMax="32" xr10:uidLastSave="{00000000-0000-0000-0000-000000000000}"/>
  <bookViews>
    <workbookView xWindow="3120" yWindow="460" windowWidth="2028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Expenses!$A$1:$D$391</definedName>
    <definedName name="_xlnm._FilterDatabase" localSheetId="0" hidden="1">Income!$A$1:$D$63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Stats'!$G$2:$G$56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48" i="5" l="1"/>
  <c r="E46" i="5"/>
  <c r="E30" i="5"/>
  <c r="E35" i="5"/>
  <c r="E23" i="5"/>
  <c r="E54" i="5"/>
  <c r="E37" i="5"/>
  <c r="E17" i="5"/>
  <c r="E39" i="5"/>
  <c r="E26" i="5"/>
  <c r="E8" i="5"/>
  <c r="C8" i="5"/>
  <c r="C13" i="5" s="1"/>
  <c r="H59" i="5"/>
  <c r="C14" i="5" s="1"/>
  <c r="E2" i="5"/>
  <c r="C7" i="3"/>
  <c r="C15" i="5" l="1"/>
  <c r="H3" i="3"/>
  <c r="H4" i="3"/>
  <c r="H5" i="3"/>
  <c r="H6" i="3"/>
  <c r="H7" i="3"/>
  <c r="H2" i="3"/>
  <c r="H53" i="3"/>
  <c r="H19" i="3"/>
  <c r="H11" i="3" l="1"/>
  <c r="C123" i="1" l="1"/>
  <c r="C179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46" i="3" l="1"/>
  <c r="E26" i="3"/>
  <c r="E8" i="3"/>
  <c r="E35" i="3"/>
  <c r="E23" i="3"/>
  <c r="E17" i="3"/>
  <c r="E37" i="3"/>
  <c r="E2" i="3"/>
  <c r="E30" i="3"/>
  <c r="E48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<sst xmlns="http://schemas.openxmlformats.org/spreadsheetml/2006/main" count="1058" uniqueCount="384">
  <si>
    <t>Networking</t>
    <phoneticPr fontId="6" type="noConversion"/>
  </si>
  <si>
    <t>Consultant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</si>
  <si>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</si>
  <si>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</si>
  <si>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</si>
  <si>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</si>
  <si>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</si>
  <si>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</si>
  <si>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</si>
  <si>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</si>
  <si>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</si>
  <si>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</si>
  <si>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</si>
  <si>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</si>
  <si>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</si>
  <si>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</si>
  <si>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</si>
  <si>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</si>
  <si>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</si>
  <si>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</si>
  <si>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</si>
  <si>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</si>
  <si>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</si>
  <si>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</si>
  <si>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</si>
  <si>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</si>
  <si>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</si>
  <si>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</si>
  <si>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</si>
  <si>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</si>
  <si>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</si>
  <si>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</si>
  <si>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</si>
  <si>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</si>
  <si>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</si>
  <si>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</si>
  <si>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</si>
  <si>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</si>
  <si>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</si>
  <si>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</si>
  <si>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</si>
  <si>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</si>
  <si>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</si>
  <si>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</si>
  <si>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</si>
  <si>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</si>
  <si>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</si>
  <si>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</si>
  <si>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</si>
  <si>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</si>
  <si>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</si>
  <si>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</si>
  <si>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</si>
  <si>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</si>
  <si>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</si>
  <si>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</si>
  <si>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</si>
  <si>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</si>
  <si>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</si>
  <si>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</si>
  <si>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</si>
  <si>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</si>
  <si>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</si>
  <si>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</si>
  <si>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</si>
  <si>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</si>
  <si>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</si>
  <si>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</si>
  <si>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</si>
  <si>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</si>
  <si>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</si>
  <si>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</si>
  <si>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</si>
  <si>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</si>
  <si>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</si>
  <si>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</si>
  <si>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</si>
  <si>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</si>
  <si>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</si>
  <si>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</si>
  <si>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</si>
  <si>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</si>
  <si>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</si>
  <si>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</si>
  <si>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</si>
  <si>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</si>
  <si>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</si>
  <si>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</si>
  <si>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</si>
  <si>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</si>
  <si>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</si>
  <si>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</si>
  <si>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</si>
  <si>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</si>
  <si>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</si>
  <si>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</si>
  <si>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</si>
  <si>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</si>
  <si>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</si>
  <si>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</si>
  <si>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</si>
  <si>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</si>
  <si>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</si>
  <si>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</si>
  <si>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</si>
  <si>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</si>
  <si>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</si>
  <si>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</si>
  <si>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</si>
  <si>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</si>
  <si>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</si>
  <si>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</si>
  <si>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</si>
  <si>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</si>
  <si>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</si>
  <si>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</si>
  <si>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</si>
  <si>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</si>
  <si>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</si>
  <si>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</si>
  <si>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</si>
  <si>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</si>
  <si>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</si>
  <si>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</si>
  <si>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</si>
  <si>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</si>
  <si>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</si>
  <si>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</si>
  <si>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</si>
  <si>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</si>
  <si>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</si>
  <si>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</si>
  <si>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</si>
  <si>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</si>
  <si>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</si>
  <si>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</si>
  <si>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</si>
  <si>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</si>
  <si>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</si>
  <si>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</si>
  <si>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</si>
  <si>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</si>
  <si>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</si>
  <si>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</si>
  <si>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</si>
  <si>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</si>
  <si>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</si>
  <si>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</si>
  <si>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</si>
  <si>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</si>
  <si>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</si>
  <si>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</si>
  <si>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</si>
  <si>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</si>
  <si>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</si>
  <si>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</si>
  <si>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</si>
  <si>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</si>
  <si>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</si>
  <si>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</si>
  <si>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</si>
  <si>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</si>
  <si>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</si>
  <si>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</si>
  <si>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</si>
  <si>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</si>
  <si>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</si>
  <si>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</si>
  <si>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</si>
  <si>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</si>
  <si>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</si>
  <si>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</si>
  <si>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</si>
  <si>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</si>
  <si>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</si>
  <si>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</si>
  <si>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</si>
  <si>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</si>
  <si>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</si>
  <si>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</si>
  <si>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</si>
  <si>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</si>
  <si>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</si>
  <si>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</si>
  <si>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</si>
  <si>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</si>
  <si>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</si>
  <si>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</si>
  <si>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</si>
  <si>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</si>
  <si>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</si>
  <si>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</si>
  <si>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</si>
  <si>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</si>
  <si>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</si>
  <si>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</si>
  <si>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</si>
  <si>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</si>
  <si>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</si>
  <si>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</si>
  <si>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</si>
  <si>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</si>
  <si>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</si>
  <si>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</si>
  <si>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</si>
  <si>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</si>
  <si>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</si>
  <si>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</si>
  <si>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</si>
  <si>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</si>
  <si>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</si>
  <si>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</si>
  <si>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</si>
  <si>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</si>
  <si>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</si>
  <si>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</si>
  <si>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</si>
  <si>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</si>
  <si>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</si>
  <si>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</si>
  <si>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</si>
  <si>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</si>
  <si>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</si>
  <si>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</si>
  <si>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</si>
  <si>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</si>
  <si>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</si>
  <si>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</si>
  <si>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</si>
  <si>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</si>
  <si>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</si>
  <si>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</si>
  <si>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</si>
  <si>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</si>
  <si>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</si>
  <si>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</si>
  <si>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</si>
  <si>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</si>
  <si>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</si>
  <si>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</si>
  <si>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</si>
  <si>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</si>
  <si>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</si>
  <si>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</si>
  <si>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</si>
  <si>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</si>
  <si>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</si>
  <si>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</si>
  <si>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</si>
  <si>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</si>
  <si>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</si>
  <si>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</si>
  <si>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</si>
  <si>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</si>
  <si>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</si>
  <si>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</si>
  <si>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</si>
  <si>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</si>
  <si>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</si>
  <si>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</si>
  <si>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</si>
  <si>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</si>
  <si>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</si>
  <si>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</si>
  <si>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</si>
  <si>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</si>
  <si>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</si>
  <si>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</si>
  <si>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</si>
  <si>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</si>
  <si>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</si>
  <si>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</si>
  <si>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</si>
  <si>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</si>
  <si>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</si>
  <si>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</si>
  <si>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</si>
  <si>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</si>
  <si>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</si>
  <si>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</si>
  <si>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</si>
  <si>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</si>
  <si>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</si>
  <si>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</si>
  <si>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</si>
  <si>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</si>
  <si>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</si>
  <si>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</si>
  <si>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</si>
  <si>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</si>
  <si>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</si>
  <si>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</si>
  <si>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</si>
  <si>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</si>
  <si>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</si>
  <si>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</si>
  <si>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</si>
  <si>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</si>
  <si>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</si>
  <si>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</si>
  <si>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</si>
  <si>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</si>
  <si>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</si>
  <si>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</si>
  <si>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</si>
  <si>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</si>
  <si>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</si>
  <si>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</si>
  <si>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</si>
  <si>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</si>
  <si>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</si>
  <si>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</si>
  <si>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</si>
  <si>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</si>
  <si>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</si>
  <si>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</si>
  <si>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</si>
  <si>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</si>
  <si>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</si>
  <si>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</si>
  <si>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</si>
  <si>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</si>
  <si>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</si>
  <si>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</si>
  <si>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</si>
  <si>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</si>
  <si>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</si>
  <si>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</si>
  <si>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</si>
  <si>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</si>
  <si>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</si>
  <si>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</si>
  <si>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</si>
  <si>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</si>
  <si>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</si>
  <si>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</si>
  <si>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</si>
  <si>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</si>
  <si>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</si>
  <si>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</si>
  <si>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</si>
  <si>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</si>
  <si>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</si>
  <si>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</si>
  <si>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</si>
  <si>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</si>
  <si>
    <t>for Consultant-FVB-1380 Accountant</t>
  </si>
  <si>
    <t>TDB - 4978 - LM KY Utilities</t>
  </si>
  <si>
    <t>?</t>
  </si>
  <si>
    <t>Consultant - Juan A (Excel)</t>
  </si>
  <si>
    <t>TDB - 4978 - Landlady</t>
  </si>
  <si>
    <t>TDB - 4978 - AIFriedman</t>
  </si>
  <si>
    <t>TDB - 4978 - Due 4/20/18*</t>
  </si>
  <si>
    <t>for Accessories - FVB - 1380</t>
  </si>
  <si>
    <t>FVB - 1380 - Jewelry</t>
  </si>
  <si>
    <t>FVB - 1380  -Watch Band</t>
  </si>
  <si>
    <t>TDB - 4978 - DVD Rental</t>
  </si>
  <si>
    <t>TDB - 4978 - Acorn</t>
  </si>
  <si>
    <t>TDB - 4978 - NYC Metro Card</t>
  </si>
  <si>
    <t>TDB - 4978 - Acme - 83.91 - including $20.00 cash back</t>
  </si>
  <si>
    <t>Cash - JA Transportation ?</t>
  </si>
  <si>
    <t>TDB - 4978 - Amazon ?</t>
  </si>
  <si>
    <t>TDB - 4978 - ?</t>
  </si>
  <si>
    <t>TDB - 4978 - Life Term Monthly*</t>
  </si>
  <si>
    <t>TDB - 4978 - Heavy Bags Parsons</t>
  </si>
  <si>
    <t>TDB - 4978 - Medical Labs</t>
  </si>
  <si>
    <t>TDB - 4978 - Ting Fing - Tiwain</t>
  </si>
  <si>
    <t>TDB - 4978 - Monthly</t>
  </si>
  <si>
    <t>TDB - 4978 - Monthly or Yearly?*</t>
  </si>
  <si>
    <t>TDB - 4978 - OverDraft</t>
  </si>
  <si>
    <t>TDB Direct Deposit*</t>
  </si>
  <si>
    <t>FVB - 1380-H&amp;R Block/CM/Taxes'17</t>
  </si>
  <si>
    <t>CeMe</t>
  </si>
  <si>
    <t>for Grocery Store - 53B - 4896</t>
  </si>
  <si>
    <t>for Business Travel - FVB - 1380</t>
  </si>
  <si>
    <t>for Food Out - FVB - 1380</t>
  </si>
  <si>
    <t>for Office Supplies - 53B - 4896</t>
  </si>
  <si>
    <t>for Office Supplies - FVB - 1380</t>
  </si>
  <si>
    <t>for Food Out - 53B - 4896</t>
  </si>
  <si>
    <t>food Out</t>
  </si>
  <si>
    <t>for food Out - 53B - 4896</t>
  </si>
  <si>
    <t>for Public Transit - 53B - 4896</t>
  </si>
  <si>
    <t>for Public Transit - FVB - 1380</t>
  </si>
  <si>
    <t>for Consultant - 53B - 4896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</si>
</sst>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m/d/yyyy;@"/>
  </numFmts>
  <fonts count="12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  <xf numFmtId="167" fontId="5" fillId="0" borderId="0" xfId="0" applyNumberFormat="1" applyFont="1"/>
    <xf numFmtId="164" fontId="5" fillId="0" borderId="0" xfId="0" applyNumberFormat="1" applyFont="1" applyAlignment="1">
      <alignment wrapText="1"/>
    </xf>
    <xf numFmtId="165" fontId="0" fillId="9" borderId="0" xfId="0" applyNumberFormat="1" applyFill="1"/>
    <xf numFmtId="0" fontId="0" fillId="9" borderId="0" xfId="0" applyFill="1"/>
    <xf numFmtId="164" fontId="0" fillId="9" borderId="0" xfId="0" applyNumberForma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279400</xdr:rowOff>
        </xdr:from>
        <xdr:to>
          <xdr:col>3</xdr:col>
          <xdr:colOff>3035300</xdr:colOff>
          <xdr:row>0</xdr:row>
          <xdr:rowOff>444500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266700</xdr:rowOff>
        </xdr:from>
        <xdr:to>
          <xdr:col>3</xdr:col>
          <xdr:colOff>990600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1079500</xdr:colOff>
          <xdr:row>0</xdr:row>
          <xdr:rowOff>50800</xdr:rowOff>
        </xdr:from>
        <xdr:to>
          <xdr:col>3</xdr:col>
          <xdr:colOff>1993900</xdr:colOff>
          <xdr:row>0</xdr:row>
          <xdr:rowOff>254000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95"/>
  <sheetViews>
    <sheetView showGridLines="0" zoomScale="136" zoomScaleNormal="136" workbookViewId="0">
      <pane ySplit="1" topLeftCell="A91" activePane="bottomLeft" state="frozen"/>
      <selection pane="bottomLeft" activeCell="C95" sqref="C95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7</v>
      </c>
      <c r="B1" s="7" t="s">
        <v>8</v>
      </c>
      <c r="C1" s="22" t="s">
        <v>9</v>
      </c>
      <c r="D1" s="7" t="s">
        <v>10</v>
      </c>
    </row>
    <row r="2" spans="1:4" x14ac:dyDescent="0.15">
      <c r="A2" s="5">
        <v>41640</v>
      </c>
      <c r="B2" t="s">
        <v>62</v>
      </c>
      <c r="C2" s="14">
        <v>74.489999999999995</v>
      </c>
      <c r="D2" t="s">
        <v>29</v>
      </c>
    </row>
    <row r="3" spans="1:4" x14ac:dyDescent="0.15">
      <c r="A3" s="5">
        <v>41641</v>
      </c>
      <c r="B3" t="s">
        <v>62</v>
      </c>
      <c r="C3" s="14">
        <v>43.09</v>
      </c>
      <c r="D3" t="s">
        <v>29</v>
      </c>
    </row>
    <row r="4" spans="1:4" x14ac:dyDescent="0.15">
      <c r="A4" s="5">
        <v>41643</v>
      </c>
      <c r="B4" t="s">
        <v>62</v>
      </c>
      <c r="C4" s="14">
        <v>45.13</v>
      </c>
      <c r="D4" t="s">
        <v>29</v>
      </c>
    </row>
    <row r="5" spans="1:4" x14ac:dyDescent="0.15">
      <c r="A5" s="5">
        <v>41647</v>
      </c>
      <c r="B5" t="s">
        <v>63</v>
      </c>
      <c r="C5" s="14">
        <v>25</v>
      </c>
      <c r="D5" t="s">
        <v>249</v>
      </c>
    </row>
    <row r="6" spans="1:4" x14ac:dyDescent="0.15">
      <c r="A6" s="5">
        <v>41652</v>
      </c>
      <c r="B6" t="s">
        <v>63</v>
      </c>
      <c r="C6" s="14">
        <v>26.87</v>
      </c>
    </row>
    <row r="7" spans="1:4" x14ac:dyDescent="0.15">
      <c r="A7" s="25">
        <v>41655</v>
      </c>
      <c r="B7" s="26" t="s">
        <v>63</v>
      </c>
      <c r="C7" s="27">
        <v>202.23</v>
      </c>
      <c r="D7" s="26" t="s">
        <v>118</v>
      </c>
    </row>
    <row r="8" spans="1:4" x14ac:dyDescent="0.15">
      <c r="A8" s="5">
        <v>41658</v>
      </c>
      <c r="B8" t="s">
        <v>63</v>
      </c>
      <c r="C8" s="14">
        <v>8.7100000000000009</v>
      </c>
      <c r="D8" t="s">
        <v>120</v>
      </c>
    </row>
    <row r="9" spans="1:4" x14ac:dyDescent="0.15">
      <c r="A9" s="5">
        <v>41659</v>
      </c>
      <c r="B9" t="s">
        <v>2</v>
      </c>
      <c r="C9" s="14">
        <v>940</v>
      </c>
      <c r="D9" t="s">
        <v>15</v>
      </c>
    </row>
    <row r="10" spans="1:4" x14ac:dyDescent="0.15">
      <c r="A10" s="5">
        <v>41660</v>
      </c>
      <c r="B10" t="s">
        <v>63</v>
      </c>
      <c r="C10" s="14">
        <v>61.61</v>
      </c>
      <c r="D10" t="s">
        <v>65</v>
      </c>
    </row>
    <row r="11" spans="1:4" x14ac:dyDescent="0.15">
      <c r="A11" s="5">
        <v>41664</v>
      </c>
      <c r="B11" t="s">
        <v>4</v>
      </c>
      <c r="C11" s="14">
        <v>1542.07</v>
      </c>
      <c r="D11" t="s">
        <v>250</v>
      </c>
    </row>
    <row r="12" spans="1:4" x14ac:dyDescent="0.15">
      <c r="A12" s="5">
        <v>41664</v>
      </c>
      <c r="B12" t="s">
        <v>63</v>
      </c>
      <c r="C12" s="14">
        <v>28.06</v>
      </c>
      <c r="D12" t="s">
        <v>65</v>
      </c>
    </row>
    <row r="13" spans="1:4" x14ac:dyDescent="0.15">
      <c r="A13" s="5">
        <v>41664</v>
      </c>
      <c r="B13" s="24" t="s">
        <v>62</v>
      </c>
      <c r="C13" s="14">
        <v>400</v>
      </c>
      <c r="D13" t="s">
        <v>315</v>
      </c>
    </row>
    <row r="14" spans="1:4" x14ac:dyDescent="0.15">
      <c r="A14" s="5">
        <v>41665</v>
      </c>
      <c r="B14" t="s">
        <v>63</v>
      </c>
      <c r="C14" s="14">
        <v>152.41999999999999</v>
      </c>
      <c r="D14" t="s">
        <v>131</v>
      </c>
    </row>
    <row r="15" spans="1:4" x14ac:dyDescent="0.15">
      <c r="A15" s="5">
        <v>41675</v>
      </c>
      <c r="B15" t="s">
        <v>62</v>
      </c>
      <c r="C15" s="14">
        <v>1000</v>
      </c>
      <c r="D15" t="s">
        <v>282</v>
      </c>
    </row>
    <row r="16" spans="1:4" x14ac:dyDescent="0.15">
      <c r="A16" s="25">
        <v>41677</v>
      </c>
      <c r="B16" s="26" t="s">
        <v>63</v>
      </c>
      <c r="C16" s="27">
        <v>93.51</v>
      </c>
      <c r="D16" s="26" t="s">
        <v>65</v>
      </c>
    </row>
    <row r="17" spans="1:4" x14ac:dyDescent="0.15">
      <c r="A17" s="5">
        <v>41679</v>
      </c>
      <c r="B17" t="s">
        <v>63</v>
      </c>
      <c r="C17" s="14">
        <v>19.23</v>
      </c>
      <c r="D17" t="s">
        <v>65</v>
      </c>
    </row>
    <row r="18" spans="1:4" x14ac:dyDescent="0.15">
      <c r="A18" s="5">
        <v>41679</v>
      </c>
      <c r="B18" t="s">
        <v>63</v>
      </c>
      <c r="C18" s="14">
        <v>181.82</v>
      </c>
      <c r="D18" t="s">
        <v>123</v>
      </c>
    </row>
    <row r="19" spans="1:4" x14ac:dyDescent="0.15">
      <c r="A19" s="5">
        <v>41680</v>
      </c>
      <c r="B19" t="s">
        <v>63</v>
      </c>
      <c r="C19" s="14">
        <v>77.52</v>
      </c>
      <c r="D19" t="s">
        <v>251</v>
      </c>
    </row>
    <row r="20" spans="1:4" x14ac:dyDescent="0.15">
      <c r="A20" s="25">
        <v>41681</v>
      </c>
      <c r="B20" s="26" t="s">
        <v>63</v>
      </c>
      <c r="C20" s="27">
        <v>48.38</v>
      </c>
      <c r="D20" s="28" t="s">
        <v>158</v>
      </c>
    </row>
    <row r="21" spans="1:4" x14ac:dyDescent="0.15">
      <c r="A21" s="5">
        <v>41681</v>
      </c>
      <c r="B21" t="s">
        <v>63</v>
      </c>
      <c r="C21" s="14">
        <v>17.29</v>
      </c>
      <c r="D21" t="s">
        <v>65</v>
      </c>
    </row>
    <row r="22" spans="1:4" x14ac:dyDescent="0.15">
      <c r="A22" s="5">
        <v>41681</v>
      </c>
      <c r="B22" t="s">
        <v>63</v>
      </c>
      <c r="C22" s="14">
        <v>18.5</v>
      </c>
      <c r="D22" t="s">
        <v>124</v>
      </c>
    </row>
    <row r="23" spans="1:4" x14ac:dyDescent="0.15">
      <c r="A23" s="5">
        <v>41681</v>
      </c>
      <c r="B23" t="s">
        <v>63</v>
      </c>
      <c r="C23" s="14">
        <v>19.899999999999999</v>
      </c>
      <c r="D23" t="s">
        <v>125</v>
      </c>
    </row>
    <row r="24" spans="1:4" x14ac:dyDescent="0.15">
      <c r="A24" s="5">
        <v>41681</v>
      </c>
      <c r="B24" s="15" t="s">
        <v>62</v>
      </c>
      <c r="C24" s="14">
        <v>28.38</v>
      </c>
      <c r="D24" t="s">
        <v>276</v>
      </c>
    </row>
    <row r="25" spans="1:4" x14ac:dyDescent="0.15">
      <c r="A25" s="5">
        <v>41682</v>
      </c>
      <c r="B25" t="s">
        <v>63</v>
      </c>
      <c r="C25" s="14">
        <v>19.059999999999999</v>
      </c>
      <c r="D25" t="s">
        <v>121</v>
      </c>
    </row>
    <row r="26" spans="1:4" x14ac:dyDescent="0.15">
      <c r="A26" s="5">
        <v>41683</v>
      </c>
      <c r="B26" t="s">
        <v>63</v>
      </c>
      <c r="C26" s="14">
        <v>61.7</v>
      </c>
      <c r="D26" t="s">
        <v>121</v>
      </c>
    </row>
    <row r="27" spans="1:4" x14ac:dyDescent="0.15">
      <c r="A27" s="25">
        <v>41683</v>
      </c>
      <c r="B27" s="26" t="s">
        <v>63</v>
      </c>
      <c r="C27" s="27">
        <v>96.57</v>
      </c>
      <c r="D27" s="26" t="s">
        <v>128</v>
      </c>
    </row>
    <row r="28" spans="1:4" x14ac:dyDescent="0.15">
      <c r="A28" s="5">
        <v>41690</v>
      </c>
      <c r="B28" t="s">
        <v>2</v>
      </c>
      <c r="C28" s="14">
        <v>928</v>
      </c>
      <c r="D28" t="s">
        <v>252</v>
      </c>
    </row>
    <row r="29" spans="1:4" x14ac:dyDescent="0.15">
      <c r="A29" s="5">
        <v>41692</v>
      </c>
      <c r="B29" t="s">
        <v>85</v>
      </c>
      <c r="C29" s="14">
        <v>0.02</v>
      </c>
      <c r="D29" t="s">
        <v>253</v>
      </c>
    </row>
    <row r="30" spans="1:4" x14ac:dyDescent="0.15">
      <c r="A30" s="5">
        <v>41692</v>
      </c>
      <c r="B30" t="s">
        <v>4</v>
      </c>
      <c r="C30" s="14">
        <v>2293.6799999999998</v>
      </c>
      <c r="D30" t="s">
        <v>254</v>
      </c>
    </row>
    <row r="31" spans="1:4" x14ac:dyDescent="0.15">
      <c r="A31" s="5">
        <v>41695</v>
      </c>
      <c r="B31" t="s">
        <v>62</v>
      </c>
      <c r="C31" s="14">
        <v>26.94</v>
      </c>
      <c r="D31" t="s">
        <v>29</v>
      </c>
    </row>
    <row r="32" spans="1:4" x14ac:dyDescent="0.15">
      <c r="A32" s="5">
        <v>41698</v>
      </c>
      <c r="B32" t="s">
        <v>62</v>
      </c>
      <c r="C32" s="14">
        <v>1000</v>
      </c>
      <c r="D32" s="15" t="s">
        <v>323</v>
      </c>
    </row>
    <row r="33" spans="1:5" x14ac:dyDescent="0.15">
      <c r="A33" s="25">
        <v>41701</v>
      </c>
      <c r="B33" s="26" t="s">
        <v>62</v>
      </c>
      <c r="C33" s="27">
        <v>12.36</v>
      </c>
      <c r="D33" s="26" t="s">
        <v>255</v>
      </c>
    </row>
    <row r="34" spans="1:5" x14ac:dyDescent="0.15">
      <c r="A34" s="25">
        <v>41701</v>
      </c>
      <c r="B34" s="26" t="s">
        <v>62</v>
      </c>
      <c r="C34" s="27">
        <v>12.96</v>
      </c>
      <c r="D34" s="26" t="s">
        <v>255</v>
      </c>
    </row>
    <row r="35" spans="1:5" x14ac:dyDescent="0.15">
      <c r="A35" s="5">
        <v>41701</v>
      </c>
      <c r="B35" s="15" t="s">
        <v>62</v>
      </c>
      <c r="C35" s="14">
        <v>12.36</v>
      </c>
      <c r="D35" t="s">
        <v>278</v>
      </c>
    </row>
    <row r="36" spans="1:5" x14ac:dyDescent="0.15">
      <c r="A36" s="5">
        <v>41701</v>
      </c>
      <c r="B36" s="15" t="s">
        <v>62</v>
      </c>
      <c r="C36" s="14">
        <v>12.96</v>
      </c>
      <c r="D36" s="15" t="s">
        <v>280</v>
      </c>
    </row>
    <row r="37" spans="1:5" x14ac:dyDescent="0.15">
      <c r="A37" s="5">
        <v>41702</v>
      </c>
      <c r="B37" t="s">
        <v>63</v>
      </c>
      <c r="C37" s="14">
        <v>77.31</v>
      </c>
      <c r="D37" t="s">
        <v>130</v>
      </c>
      <c r="E37" s="14"/>
    </row>
    <row r="38" spans="1:5" x14ac:dyDescent="0.15">
      <c r="A38" s="5">
        <v>41702</v>
      </c>
      <c r="B38" t="s">
        <v>63</v>
      </c>
      <c r="C38" s="14">
        <v>79.19</v>
      </c>
      <c r="D38" t="s">
        <v>65</v>
      </c>
    </row>
    <row r="39" spans="1:5" x14ac:dyDescent="0.15">
      <c r="A39" s="5">
        <v>41702</v>
      </c>
      <c r="B39" t="s">
        <v>63</v>
      </c>
      <c r="C39" s="14">
        <v>6.99</v>
      </c>
      <c r="D39" t="s">
        <v>65</v>
      </c>
    </row>
    <row r="40" spans="1:5" x14ac:dyDescent="0.15">
      <c r="A40" s="5">
        <v>41703</v>
      </c>
      <c r="B40" t="s">
        <v>63</v>
      </c>
      <c r="C40" s="14">
        <v>102.5</v>
      </c>
      <c r="D40" t="s">
        <v>67</v>
      </c>
    </row>
    <row r="41" spans="1:5" x14ac:dyDescent="0.15">
      <c r="A41" s="5">
        <v>41703</v>
      </c>
      <c r="B41" t="s">
        <v>62</v>
      </c>
      <c r="C41" s="14">
        <v>1000</v>
      </c>
      <c r="D41" s="15" t="s">
        <v>325</v>
      </c>
    </row>
    <row r="42" spans="1:5" x14ac:dyDescent="0.15">
      <c r="A42" s="5">
        <v>41706</v>
      </c>
      <c r="B42" s="15" t="s">
        <v>62</v>
      </c>
      <c r="C42" s="14">
        <v>2252</v>
      </c>
      <c r="D42" t="s">
        <v>312</v>
      </c>
    </row>
    <row r="43" spans="1:5" x14ac:dyDescent="0.15">
      <c r="A43" s="5">
        <v>41758</v>
      </c>
      <c r="B43" s="15" t="s">
        <v>25</v>
      </c>
      <c r="C43" s="14">
        <v>80</v>
      </c>
      <c r="D43" s="15" t="s">
        <v>373</v>
      </c>
    </row>
    <row r="44" spans="1:5" x14ac:dyDescent="0.15">
      <c r="A44" s="5">
        <v>41707</v>
      </c>
      <c r="B44" t="s">
        <v>63</v>
      </c>
      <c r="C44" s="14">
        <v>28.29</v>
      </c>
      <c r="D44" t="s">
        <v>65</v>
      </c>
    </row>
    <row r="45" spans="1:5" x14ac:dyDescent="0.15">
      <c r="A45" s="5">
        <v>41711</v>
      </c>
      <c r="B45" t="s">
        <v>62</v>
      </c>
      <c r="C45" s="14">
        <v>169.46</v>
      </c>
      <c r="D45" t="s">
        <v>77</v>
      </c>
    </row>
    <row r="46" spans="1:5" x14ac:dyDescent="0.15">
      <c r="A46" s="5">
        <v>41713</v>
      </c>
      <c r="B46" t="s">
        <v>62</v>
      </c>
      <c r="C46" s="14">
        <v>21.65</v>
      </c>
      <c r="D46" s="15" t="s">
        <v>257</v>
      </c>
    </row>
    <row r="47" spans="1:5" x14ac:dyDescent="0.15">
      <c r="A47" s="25">
        <v>41714</v>
      </c>
      <c r="B47" s="28" t="s">
        <v>62</v>
      </c>
      <c r="C47" s="27">
        <v>133.22</v>
      </c>
      <c r="D47" s="28" t="s">
        <v>158</v>
      </c>
    </row>
    <row r="48" spans="1:5" x14ac:dyDescent="0.15">
      <c r="A48" s="5">
        <v>41718</v>
      </c>
      <c r="B48" t="s">
        <v>6</v>
      </c>
      <c r="C48" s="14">
        <v>928</v>
      </c>
      <c r="D48" s="15" t="s">
        <v>256</v>
      </c>
    </row>
    <row r="49" spans="1:6" x14ac:dyDescent="0.15">
      <c r="A49" s="5">
        <v>41721</v>
      </c>
      <c r="B49" t="s">
        <v>62</v>
      </c>
      <c r="C49" s="14">
        <v>129.56</v>
      </c>
      <c r="D49" s="15" t="s">
        <v>257</v>
      </c>
    </row>
    <row r="50" spans="1:6" x14ac:dyDescent="0.15">
      <c r="A50" s="5">
        <v>41723</v>
      </c>
      <c r="B50" s="15" t="s">
        <v>62</v>
      </c>
      <c r="C50" s="14">
        <v>60.26</v>
      </c>
      <c r="D50" s="15" t="s">
        <v>300</v>
      </c>
    </row>
    <row r="51" spans="1:6" x14ac:dyDescent="0.15">
      <c r="A51" s="4">
        <v>41723</v>
      </c>
      <c r="B51" s="15" t="s">
        <v>62</v>
      </c>
      <c r="C51" s="2">
        <v>9.35</v>
      </c>
      <c r="D51" s="17" t="s">
        <v>301</v>
      </c>
    </row>
    <row r="52" spans="1:6" x14ac:dyDescent="0.15">
      <c r="A52" s="17">
        <v>41724</v>
      </c>
      <c r="B52" s="15" t="s">
        <v>62</v>
      </c>
      <c r="C52" s="14">
        <v>62.49</v>
      </c>
      <c r="D52" t="s">
        <v>276</v>
      </c>
      <c r="F52" s="14"/>
    </row>
    <row r="53" spans="1:6" x14ac:dyDescent="0.15">
      <c r="A53" s="5">
        <v>41725</v>
      </c>
      <c r="B53" t="s">
        <v>62</v>
      </c>
      <c r="C53" s="14">
        <v>190.67</v>
      </c>
      <c r="D53" t="s">
        <v>299</v>
      </c>
    </row>
    <row r="54" spans="1:6" x14ac:dyDescent="0.15">
      <c r="A54" s="5">
        <v>41726</v>
      </c>
      <c r="B54" t="s">
        <v>62</v>
      </c>
      <c r="C54" s="14">
        <v>346.22</v>
      </c>
      <c r="D54" t="s">
        <v>329</v>
      </c>
    </row>
    <row r="55" spans="1:6" x14ac:dyDescent="0.15">
      <c r="A55" s="5">
        <v>41727</v>
      </c>
      <c r="B55" s="15" t="s">
        <v>295</v>
      </c>
      <c r="C55" s="14">
        <v>500</v>
      </c>
      <c r="D55" s="15" t="s">
        <v>296</v>
      </c>
    </row>
    <row r="56" spans="1:6" x14ac:dyDescent="0.15">
      <c r="A56" s="5">
        <v>41729</v>
      </c>
      <c r="B56" s="15" t="s">
        <v>62</v>
      </c>
      <c r="C56" s="14">
        <v>1000</v>
      </c>
      <c r="D56" s="14" t="s">
        <v>282</v>
      </c>
    </row>
    <row r="57" spans="1:6" x14ac:dyDescent="0.15">
      <c r="A57" s="5">
        <v>41739</v>
      </c>
      <c r="B57" s="15" t="s">
        <v>62</v>
      </c>
      <c r="C57" s="14">
        <v>490.75</v>
      </c>
      <c r="D57" t="s">
        <v>315</v>
      </c>
    </row>
    <row r="58" spans="1:6" x14ac:dyDescent="0.15">
      <c r="A58" s="5">
        <v>41730</v>
      </c>
      <c r="B58" s="15" t="s">
        <v>62</v>
      </c>
      <c r="C58" s="14">
        <v>153.13</v>
      </c>
      <c r="D58" t="s">
        <v>309</v>
      </c>
    </row>
    <row r="59" spans="1:6" x14ac:dyDescent="0.15">
      <c r="A59" s="5">
        <v>41731</v>
      </c>
      <c r="B59" s="15" t="s">
        <v>62</v>
      </c>
      <c r="C59" s="14">
        <v>1000</v>
      </c>
      <c r="D59" s="17" t="s">
        <v>349</v>
      </c>
      <c r="E59" s="15"/>
      <c r="F59" s="14"/>
    </row>
    <row r="60" spans="1:6" x14ac:dyDescent="0.15">
      <c r="A60" s="4">
        <v>41739</v>
      </c>
      <c r="B60" t="s">
        <v>62</v>
      </c>
      <c r="C60" s="2">
        <v>562.25</v>
      </c>
      <c r="D60" s="15" t="s">
        <v>346</v>
      </c>
      <c r="E60" s="15"/>
    </row>
    <row r="61" spans="1:6" x14ac:dyDescent="0.15">
      <c r="A61" s="5">
        <v>41739</v>
      </c>
      <c r="B61" s="15" t="s">
        <v>62</v>
      </c>
      <c r="C61" s="14">
        <v>380.67</v>
      </c>
      <c r="D61" t="s">
        <v>353</v>
      </c>
    </row>
    <row r="62" spans="1:6" x14ac:dyDescent="0.15">
      <c r="A62" s="17">
        <v>41739</v>
      </c>
      <c r="B62" s="15" t="s">
        <v>62</v>
      </c>
      <c r="C62" s="14">
        <v>43.4</v>
      </c>
      <c r="D62" t="s">
        <v>353</v>
      </c>
    </row>
    <row r="63" spans="1:6" x14ac:dyDescent="0.15">
      <c r="A63" s="4">
        <v>41752</v>
      </c>
      <c r="B63" s="15" t="s">
        <v>372</v>
      </c>
      <c r="C63" s="2">
        <v>2293.67</v>
      </c>
      <c r="D63" s="15" t="s">
        <v>370</v>
      </c>
    </row>
    <row r="64" spans="1:6" x14ac:dyDescent="0.15">
      <c r="A64" s="5">
        <v>41757</v>
      </c>
      <c r="B64" s="15" t="s">
        <v>62</v>
      </c>
      <c r="C64" s="14">
        <v>90</v>
      </c>
      <c r="D64" t="s">
        <v>373</v>
      </c>
    </row>
    <row r="65" spans="1:4" x14ac:dyDescent="0.15">
      <c r="A65" s="5">
        <v>41756</v>
      </c>
      <c r="B65" s="15" t="s">
        <v>62</v>
      </c>
      <c r="C65" s="14">
        <v>100</v>
      </c>
      <c r="D65" t="s">
        <v>374</v>
      </c>
    </row>
    <row r="66" spans="1:4" x14ac:dyDescent="0.15">
      <c r="A66" s="5">
        <v>41758</v>
      </c>
      <c r="B66" s="15" t="s">
        <v>62</v>
      </c>
      <c r="C66" s="14">
        <v>300</v>
      </c>
      <c r="D66" t="s">
        <v>373</v>
      </c>
    </row>
    <row r="67" spans="1:4" x14ac:dyDescent="0.15">
      <c r="A67" s="5">
        <v>41758</v>
      </c>
      <c r="B67" s="15" t="s">
        <v>62</v>
      </c>
      <c r="C67" s="14">
        <v>600</v>
      </c>
      <c r="D67" t="s">
        <v>375</v>
      </c>
    </row>
    <row r="68" spans="1:4" x14ac:dyDescent="0.15">
      <c r="A68" s="4">
        <v>41756</v>
      </c>
      <c r="B68" t="s">
        <v>62</v>
      </c>
      <c r="C68" s="2">
        <v>900</v>
      </c>
      <c r="D68" t="s">
        <v>376</v>
      </c>
    </row>
    <row r="69" spans="1:4" x14ac:dyDescent="0.15">
      <c r="A69" s="4">
        <v>41756</v>
      </c>
      <c r="B69" t="s">
        <v>62</v>
      </c>
      <c r="C69" s="2">
        <v>980</v>
      </c>
      <c r="D69" t="s">
        <v>375</v>
      </c>
    </row>
    <row r="70" spans="1:4" x14ac:dyDescent="0.15">
      <c r="A70" s="4">
        <v>41758</v>
      </c>
      <c r="B70" t="s">
        <v>62</v>
      </c>
      <c r="C70" s="2">
        <v>999</v>
      </c>
      <c r="D70" t="s">
        <v>373</v>
      </c>
    </row>
    <row r="71" spans="1:4" x14ac:dyDescent="0.15">
      <c r="A71" s="4">
        <v>41758</v>
      </c>
      <c r="B71" t="s">
        <v>62</v>
      </c>
      <c r="C71" s="2">
        <v>2454</v>
      </c>
      <c r="D71" t="s">
        <v>375</v>
      </c>
    </row>
    <row r="72" spans="1:4" x14ac:dyDescent="0.15">
      <c r="A72" s="4">
        <v>41758</v>
      </c>
      <c r="B72" t="s">
        <v>62</v>
      </c>
      <c r="C72" s="2">
        <v>333</v>
      </c>
      <c r="D72" t="s">
        <v>377</v>
      </c>
    </row>
    <row r="73" spans="1:4" x14ac:dyDescent="0.15">
      <c r="A73" s="4">
        <v>41757</v>
      </c>
      <c r="B73" t="s">
        <v>62</v>
      </c>
      <c r="C73" s="2">
        <v>1200</v>
      </c>
      <c r="D73" t="s">
        <v>375</v>
      </c>
    </row>
    <row r="74" spans="1:4" x14ac:dyDescent="0.15">
      <c r="A74" s="4">
        <v>41757</v>
      </c>
      <c r="B74" t="s">
        <v>62</v>
      </c>
      <c r="C74" s="2">
        <v>1200</v>
      </c>
      <c r="D74" t="s">
        <v>375</v>
      </c>
    </row>
    <row r="75" spans="1:4" x14ac:dyDescent="0.15">
      <c r="A75" s="4">
        <v>41757</v>
      </c>
      <c r="B75" t="s">
        <v>62</v>
      </c>
      <c r="C75" s="2">
        <v>1200</v>
      </c>
      <c r="D75" t="s">
        <v>378</v>
      </c>
    </row>
    <row r="76" spans="1:4" x14ac:dyDescent="0.15">
      <c r="A76" s="4">
        <v>41757</v>
      </c>
      <c r="B76" t="s">
        <v>62</v>
      </c>
      <c r="C76" s="2">
        <v>1200</v>
      </c>
      <c r="D76" t="s">
        <v>375</v>
      </c>
    </row>
    <row r="77" spans="1:4" x14ac:dyDescent="0.15">
      <c r="A77" s="4">
        <v>41757</v>
      </c>
      <c r="B77" t="s">
        <v>62</v>
      </c>
      <c r="C77" s="2">
        <v>1200</v>
      </c>
      <c r="D77" t="s">
        <v>378</v>
      </c>
    </row>
    <row r="78" spans="1:4" x14ac:dyDescent="0.15">
      <c r="A78" s="4">
        <v>41761</v>
      </c>
      <c r="B78" t="s">
        <v>62</v>
      </c>
      <c r="C78" s="2">
        <v>100</v>
      </c>
      <c r="D78" t="s">
        <v>380</v>
      </c>
    </row>
    <row r="79" spans="1:4" x14ac:dyDescent="0.15">
      <c r="A79" s="4">
        <v>41760</v>
      </c>
      <c r="B79" t="s">
        <v>62</v>
      </c>
      <c r="C79" s="2">
        <v>300</v>
      </c>
      <c r="D79" t="s">
        <v>373</v>
      </c>
    </row>
    <row r="80" spans="1:4" x14ac:dyDescent="0.15">
      <c r="A80" s="4">
        <v>41759</v>
      </c>
      <c r="B80" t="s">
        <v>62</v>
      </c>
      <c r="C80" s="2">
        <v>45</v>
      </c>
      <c r="D80" t="s">
        <v>381</v>
      </c>
    </row>
    <row r="81" spans="1:4" x14ac:dyDescent="0.15">
      <c r="A81" s="4">
        <v>41759</v>
      </c>
      <c r="B81" t="s">
        <v>62</v>
      </c>
      <c r="C81" s="2">
        <v>90</v>
      </c>
      <c r="D81" t="s">
        <v>373</v>
      </c>
    </row>
    <row r="82" spans="1:4" x14ac:dyDescent="0.15">
      <c r="A82" s="4">
        <v>41760</v>
      </c>
      <c r="B82" t="s">
        <v>62</v>
      </c>
      <c r="C82" s="2">
        <v>95</v>
      </c>
      <c r="D82" t="s">
        <v>378</v>
      </c>
    </row>
    <row r="83" spans="1:4" x14ac:dyDescent="0.15">
      <c r="A83" s="4">
        <v>41760</v>
      </c>
      <c r="B83" t="s">
        <v>62</v>
      </c>
      <c r="C83" s="2">
        <v>95</v>
      </c>
      <c r="D83" t="s">
        <v>378</v>
      </c>
    </row>
    <row r="84" spans="1:4" x14ac:dyDescent="0.15">
      <c r="A84" s="4">
        <v>41761</v>
      </c>
      <c r="B84" t="s">
        <v>62</v>
      </c>
      <c r="C84" s="2">
        <v>200</v>
      </c>
      <c r="D84" t="s">
        <v>378</v>
      </c>
    </row>
    <row r="85" spans="1:4" x14ac:dyDescent="0.15">
      <c r="A85" s="4">
        <v>41760</v>
      </c>
      <c r="B85" t="s">
        <v>62</v>
      </c>
      <c r="C85" s="2">
        <v>300</v>
      </c>
      <c r="D85" t="s">
        <v>375</v>
      </c>
    </row>
    <row r="86" spans="1:4" x14ac:dyDescent="0.15">
      <c r="A86" s="4">
        <v>41761</v>
      </c>
      <c r="B86" t="s">
        <v>62</v>
      </c>
      <c r="C86" s="2">
        <v>120</v>
      </c>
      <c r="D86" t="s">
        <v>378</v>
      </c>
    </row>
    <row r="87" spans="1:4" x14ac:dyDescent="0.15">
      <c r="A87" s="4">
        <v>41759</v>
      </c>
      <c r="B87" t="s">
        <v>62</v>
      </c>
      <c r="C87" s="2">
        <v>35</v>
      </c>
      <c r="D87" t="s">
        <v>382</v>
      </c>
    </row>
    <row r="88" spans="1:4" x14ac:dyDescent="0.15">
      <c r="A88" s="4">
        <v>41759</v>
      </c>
      <c r="B88" t="s">
        <v>62</v>
      </c>
      <c r="C88" s="2">
        <v>35</v>
      </c>
      <c r="D88" t="s">
        <v>381</v>
      </c>
    </row>
    <row r="89" spans="1:4" x14ac:dyDescent="0.15">
      <c r="A89" s="4">
        <v>41656</v>
      </c>
      <c r="B89" t="s">
        <v>62</v>
      </c>
      <c r="C89" s="2">
        <v>72.8</v>
      </c>
      <c r="D89" t="s">
        <v>383</v>
      </c>
    </row>
    <row r="90" spans="1:4" x14ac:dyDescent="0.15">
      <c r="A90" s="4">
        <v>41656</v>
      </c>
      <c r="B90" t="s">
        <v>62</v>
      </c>
      <c r="C90" s="2">
        <v>72.8</v>
      </c>
      <c r="D90" t="s">
        <v>383</v>
      </c>
    </row>
    <row r="91" spans="1:4" x14ac:dyDescent="0.15">
      <c r="A91" s="4">
        <v>41656</v>
      </c>
      <c r="B91" t="s">
        <v>62</v>
      </c>
      <c r="C91" s="2">
        <v>72.8</v>
      </c>
      <c r="D91" t="s">
        <v>383</v>
      </c>
    </row>
    <row r="92" spans="1:4" x14ac:dyDescent="0.15">
      <c r="A92" s="4">
        <v>41656</v>
      </c>
      <c r="B92" t="s">
        <v>62</v>
      </c>
      <c r="C92" s="2">
        <v>72.8</v>
      </c>
      <c r="D92" t="s">
        <v>383</v>
      </c>
    </row>
    <row r="93" spans="1:4" x14ac:dyDescent="0.15">
      <c r="A93" s="4">
        <v>41656</v>
      </c>
      <c r="B93" t="s">
        <v>62</v>
      </c>
      <c r="C93" s="2">
        <v>72.8</v>
      </c>
      <c r="D93" t="s">
        <v>383</v>
      </c>
    </row>
    <row r="94" spans="1:4" s="94" customFormat="1" x14ac:dyDescent="0.15">
      <c r="A94" s="93">
        <v>41656</v>
      </c>
      <c r="B94" s="94" t="s">
        <v>62</v>
      </c>
      <c r="C94" s="95">
        <v>72.8</v>
      </c>
      <c r="D94" s="94" t="s">
        <v>383</v>
      </c>
    </row>
    <row r="95" spans="1:4" x14ac:dyDescent="0.15">
      <c r="A95" s="4">
        <v>41656</v>
      </c>
      <c r="B95" t="s">
        <v>62</v>
      </c>
      <c r="C95" s="2">
        <v>72.8</v>
      </c>
      <c r="D95" t="s">
        <v>315</v>
      </c>
    </row>
  </sheetData>
  <autoFilter ref="A1:D63" xr:uid="{00000000-0009-0000-0000-000000000000}"/>
  <phoneticPr fontId="6" type="noConversion"/>
  <dataValidations count="2">
    <dataValidation type="list" allowBlank="1" showInputMessage="1" showErrorMessage="1" sqref="E59 E52" xr:uid="{46A1ED59-F790-7E46-9627-5FD35BC2831A}">
      <formula1>expenses</formula1>
    </dataValidation>
    <dataValidation type="list" allowBlank="1" showInputMessage="1" showErrorMessage="1" sqref="B2:B1048576" xr:uid="{D0F54062-220B-894A-B386-18D5D99456E4}">
      <formula1>income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3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15">
              <controlPr defaultSize="0" print="0" autoFill="0" autoPict="0" macro="[0]!ClearFilters.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7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8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9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391"/>
  <sheetViews>
    <sheetView showGridLines="0" tabSelected="1" zoomScale="122" zoomScaleNormal="122" workbookViewId="0">
      <pane ySplit="1" topLeftCell="A46" activePane="bottomLeft" state="frozen"/>
      <selection pane="bottomLeft" activeCell="D46" sqref="D46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171</v>
      </c>
      <c r="B1" s="19" t="s">
        <v>174</v>
      </c>
      <c r="C1" s="20" t="s">
        <v>176</v>
      </c>
      <c r="D1" s="29" t="s">
        <v>160</v>
      </c>
    </row>
    <row r="2" spans="1:4" hidden="1" x14ac:dyDescent="0.15">
      <c r="A2" s="5">
        <v>41639</v>
      </c>
      <c r="B2" t="s">
        <v>345</v>
      </c>
      <c r="C2" s="14">
        <v>15</v>
      </c>
      <c r="D2" s="8" t="s">
        <v>208</v>
      </c>
    </row>
    <row r="3" spans="1:4" hidden="1" x14ac:dyDescent="0.15">
      <c r="A3" s="5">
        <v>41640</v>
      </c>
      <c r="B3" t="s">
        <v>83</v>
      </c>
      <c r="C3" s="14">
        <v>15</v>
      </c>
      <c r="D3" s="8" t="s">
        <v>177</v>
      </c>
    </row>
    <row r="4" spans="1:4" hidden="1" x14ac:dyDescent="0.15">
      <c r="A4" s="5">
        <v>41640</v>
      </c>
      <c r="B4" t="s">
        <v>63</v>
      </c>
      <c r="C4" s="14">
        <v>74.489999999999995</v>
      </c>
      <c r="D4" s="8" t="s">
        <v>178</v>
      </c>
    </row>
    <row r="5" spans="1:4" hidden="1" x14ac:dyDescent="0.15">
      <c r="A5" s="5">
        <v>41640</v>
      </c>
      <c r="B5" s="15" t="s">
        <v>82</v>
      </c>
      <c r="C5" s="14">
        <v>25.25</v>
      </c>
      <c r="D5" s="8" t="s">
        <v>208</v>
      </c>
    </row>
    <row r="6" spans="1:4" hidden="1" x14ac:dyDescent="0.15">
      <c r="A6" s="5">
        <v>41641</v>
      </c>
      <c r="B6" t="s">
        <v>314</v>
      </c>
      <c r="C6" s="14">
        <v>50</v>
      </c>
      <c r="D6" s="8" t="s">
        <v>179</v>
      </c>
    </row>
    <row r="7" spans="1:4" hidden="1" x14ac:dyDescent="0.15">
      <c r="A7" s="5">
        <v>41641</v>
      </c>
      <c r="B7" s="15" t="s">
        <v>173</v>
      </c>
      <c r="C7" s="14">
        <v>14.55</v>
      </c>
      <c r="D7" s="16" t="s">
        <v>327</v>
      </c>
    </row>
    <row r="8" spans="1:4" hidden="1" x14ac:dyDescent="0.15">
      <c r="A8" s="5">
        <v>41641</v>
      </c>
      <c r="B8" t="s">
        <v>63</v>
      </c>
      <c r="C8" s="14">
        <v>43.09</v>
      </c>
      <c r="D8" s="8" t="s">
        <v>180</v>
      </c>
    </row>
    <row r="9" spans="1:4" hidden="1" x14ac:dyDescent="0.15">
      <c r="A9" s="5">
        <v>41641</v>
      </c>
      <c r="B9" t="s">
        <v>31</v>
      </c>
      <c r="C9" s="14">
        <v>111.12</v>
      </c>
      <c r="D9" s="8" t="s">
        <v>181</v>
      </c>
    </row>
    <row r="10" spans="1:4" hidden="1" x14ac:dyDescent="0.15">
      <c r="A10" s="5">
        <v>41643</v>
      </c>
      <c r="B10" t="s">
        <v>63</v>
      </c>
      <c r="C10" s="14">
        <v>45.13</v>
      </c>
      <c r="D10" s="8" t="s">
        <v>61</v>
      </c>
    </row>
    <row r="11" spans="1:4" hidden="1" x14ac:dyDescent="0.15">
      <c r="A11" s="5">
        <v>41646</v>
      </c>
      <c r="B11" t="s">
        <v>64</v>
      </c>
      <c r="C11" s="14">
        <v>5.16</v>
      </c>
      <c r="D11" s="8" t="s">
        <v>182</v>
      </c>
    </row>
    <row r="12" spans="1:4" hidden="1" x14ac:dyDescent="0.15">
      <c r="A12" s="5">
        <v>41646</v>
      </c>
      <c r="B12" s="24" t="s">
        <v>281</v>
      </c>
      <c r="C12" s="14">
        <v>1000</v>
      </c>
      <c r="D12" s="16" t="s">
        <v>275</v>
      </c>
    </row>
    <row r="13" spans="1:4" hidden="1" x14ac:dyDescent="0.15">
      <c r="A13" s="5">
        <v>41647</v>
      </c>
      <c r="B13" t="s">
        <v>56</v>
      </c>
      <c r="C13" s="14">
        <v>26.38</v>
      </c>
      <c r="D13" s="16" t="s">
        <v>272</v>
      </c>
    </row>
    <row r="14" spans="1:4" hidden="1" x14ac:dyDescent="0.15">
      <c r="A14" s="5">
        <v>41647</v>
      </c>
      <c r="B14" t="s">
        <v>63</v>
      </c>
      <c r="C14" s="14">
        <v>8.2899999999999991</v>
      </c>
      <c r="D14" s="8" t="s">
        <v>183</v>
      </c>
    </row>
    <row r="15" spans="1:4" hidden="1" x14ac:dyDescent="0.15">
      <c r="A15" s="5">
        <v>41647</v>
      </c>
      <c r="B15" s="15" t="s">
        <v>62</v>
      </c>
      <c r="C15" s="14">
        <v>25</v>
      </c>
      <c r="D15" s="16" t="s">
        <v>291</v>
      </c>
    </row>
    <row r="16" spans="1:4" hidden="1" x14ac:dyDescent="0.15">
      <c r="A16" s="5">
        <v>41648</v>
      </c>
      <c r="B16" t="s">
        <v>19</v>
      </c>
      <c r="C16" s="14">
        <v>4.99</v>
      </c>
      <c r="D16" s="16" t="s">
        <v>290</v>
      </c>
    </row>
    <row r="17" spans="1:4" hidden="1" x14ac:dyDescent="0.15">
      <c r="A17" s="5">
        <v>41648</v>
      </c>
      <c r="B17" t="s">
        <v>16</v>
      </c>
      <c r="C17" s="14">
        <v>26.47</v>
      </c>
      <c r="D17" s="8" t="s">
        <v>184</v>
      </c>
    </row>
    <row r="18" spans="1:4" hidden="1" x14ac:dyDescent="0.15">
      <c r="A18" s="5">
        <v>41648</v>
      </c>
      <c r="B18" t="s">
        <v>26</v>
      </c>
      <c r="C18" s="14">
        <v>5</v>
      </c>
    </row>
    <row r="19" spans="1:4" hidden="1" x14ac:dyDescent="0.15">
      <c r="A19" s="5">
        <v>41650</v>
      </c>
      <c r="B19" t="s">
        <v>104</v>
      </c>
      <c r="C19" s="14">
        <v>82</v>
      </c>
      <c r="D19" s="8" t="s">
        <v>185</v>
      </c>
    </row>
    <row r="20" spans="1:4" hidden="1" x14ac:dyDescent="0.15">
      <c r="A20" s="5">
        <v>41650</v>
      </c>
      <c r="B20" t="s">
        <v>22</v>
      </c>
      <c r="C20" s="14">
        <v>5</v>
      </c>
    </row>
    <row r="21" spans="1:4" hidden="1" x14ac:dyDescent="0.15">
      <c r="A21" s="5">
        <v>41650</v>
      </c>
      <c r="B21" t="s">
        <v>186</v>
      </c>
      <c r="C21" s="14">
        <v>18</v>
      </c>
      <c r="D21" s="8" t="s">
        <v>187</v>
      </c>
    </row>
    <row r="22" spans="1:4" hidden="1" x14ac:dyDescent="0.15">
      <c r="A22" s="5">
        <v>41651</v>
      </c>
      <c r="B22" t="s">
        <v>22</v>
      </c>
      <c r="C22" s="14">
        <v>31.4</v>
      </c>
    </row>
    <row r="23" spans="1:4" hidden="1" x14ac:dyDescent="0.15">
      <c r="A23" s="5">
        <v>41651</v>
      </c>
      <c r="B23" t="s">
        <v>64</v>
      </c>
      <c r="C23" s="14">
        <v>85.64</v>
      </c>
    </row>
    <row r="24" spans="1:4" hidden="1" x14ac:dyDescent="0.15">
      <c r="A24" s="5">
        <v>41652</v>
      </c>
      <c r="B24" t="s">
        <v>22</v>
      </c>
      <c r="C24" s="14">
        <v>3.75</v>
      </c>
    </row>
    <row r="25" spans="1:4" hidden="1" x14ac:dyDescent="0.15">
      <c r="A25" s="5">
        <v>41654</v>
      </c>
      <c r="B25" t="s">
        <v>114</v>
      </c>
      <c r="C25" s="14">
        <v>86.62</v>
      </c>
    </row>
    <row r="26" spans="1:4" hidden="1" x14ac:dyDescent="0.15">
      <c r="A26" s="5">
        <v>41654</v>
      </c>
      <c r="B26" t="s">
        <v>76</v>
      </c>
      <c r="C26" s="14">
        <v>82</v>
      </c>
      <c r="D26" s="8" t="s">
        <v>188</v>
      </c>
    </row>
    <row r="27" spans="1:4" hidden="1" x14ac:dyDescent="0.15">
      <c r="A27" s="5">
        <v>41654</v>
      </c>
      <c r="B27" t="s">
        <v>92</v>
      </c>
      <c r="C27" s="14">
        <v>70</v>
      </c>
    </row>
    <row r="28" spans="1:4" hidden="1" x14ac:dyDescent="0.15">
      <c r="A28" s="5">
        <v>41654</v>
      </c>
      <c r="B28" t="s">
        <v>91</v>
      </c>
      <c r="C28" s="14">
        <v>45</v>
      </c>
    </row>
    <row r="29" spans="1:4" hidden="1" x14ac:dyDescent="0.15">
      <c r="A29" s="5">
        <v>41654</v>
      </c>
      <c r="B29" t="s">
        <v>22</v>
      </c>
      <c r="C29" s="14">
        <v>13.88</v>
      </c>
    </row>
    <row r="30" spans="1:4" hidden="1" x14ac:dyDescent="0.15">
      <c r="A30" s="5">
        <v>41654</v>
      </c>
      <c r="B30" t="s">
        <v>22</v>
      </c>
      <c r="C30" s="14">
        <v>29.4</v>
      </c>
    </row>
    <row r="31" spans="1:4" hidden="1" x14ac:dyDescent="0.15">
      <c r="A31" s="5">
        <v>41654</v>
      </c>
      <c r="B31" t="s">
        <v>22</v>
      </c>
      <c r="C31" s="14">
        <v>3.75</v>
      </c>
    </row>
    <row r="32" spans="1:4" hidden="1" x14ac:dyDescent="0.15">
      <c r="A32" s="5">
        <v>41654</v>
      </c>
      <c r="B32" t="s">
        <v>22</v>
      </c>
      <c r="C32" s="14">
        <v>26.87</v>
      </c>
    </row>
    <row r="33" spans="1:4" hidden="1" x14ac:dyDescent="0.15">
      <c r="A33" s="5">
        <v>41654</v>
      </c>
      <c r="B33" t="s">
        <v>64</v>
      </c>
      <c r="C33" s="14">
        <v>11.9</v>
      </c>
    </row>
    <row r="34" spans="1:4" hidden="1" x14ac:dyDescent="0.15">
      <c r="A34" s="5">
        <v>41654</v>
      </c>
      <c r="B34" t="s">
        <v>64</v>
      </c>
      <c r="C34" s="14">
        <v>85.64</v>
      </c>
    </row>
    <row r="35" spans="1:4" hidden="1" x14ac:dyDescent="0.15">
      <c r="A35" s="5">
        <v>41654</v>
      </c>
      <c r="B35" t="s">
        <v>64</v>
      </c>
      <c r="C35" s="14">
        <v>115.61</v>
      </c>
    </row>
    <row r="36" spans="1:4" hidden="1" x14ac:dyDescent="0.15">
      <c r="A36" s="5">
        <v>41654</v>
      </c>
      <c r="B36" s="15" t="s">
        <v>173</v>
      </c>
      <c r="C36" s="14">
        <v>14.92</v>
      </c>
    </row>
    <row r="37" spans="1:4" hidden="1" x14ac:dyDescent="0.15">
      <c r="A37" s="5">
        <v>41654</v>
      </c>
      <c r="B37" t="s">
        <v>26</v>
      </c>
      <c r="C37" s="14">
        <v>11.62</v>
      </c>
    </row>
    <row r="38" spans="1:4" hidden="1" x14ac:dyDescent="0.15">
      <c r="A38" s="5">
        <v>41654</v>
      </c>
      <c r="B38" t="s">
        <v>26</v>
      </c>
      <c r="C38" s="14">
        <v>8.5</v>
      </c>
    </row>
    <row r="39" spans="1:4" hidden="1" x14ac:dyDescent="0.15">
      <c r="A39" s="5">
        <v>41654</v>
      </c>
      <c r="B39" s="15" t="s">
        <v>16</v>
      </c>
      <c r="C39" s="14">
        <v>8.33</v>
      </c>
      <c r="D39" s="8" t="s">
        <v>208</v>
      </c>
    </row>
    <row r="40" spans="1:4" hidden="1" x14ac:dyDescent="0.15">
      <c r="A40" s="5">
        <v>41655</v>
      </c>
      <c r="B40" t="s">
        <v>70</v>
      </c>
      <c r="C40" s="14">
        <v>35</v>
      </c>
    </row>
    <row r="41" spans="1:4" hidden="1" x14ac:dyDescent="0.15">
      <c r="A41" s="5">
        <v>41655</v>
      </c>
      <c r="B41" t="s">
        <v>64</v>
      </c>
      <c r="C41" s="14">
        <v>202.23</v>
      </c>
    </row>
    <row r="42" spans="1:4" hidden="1" x14ac:dyDescent="0.15">
      <c r="A42" s="5">
        <v>41655</v>
      </c>
      <c r="B42" t="s">
        <v>37</v>
      </c>
      <c r="C42" s="14">
        <v>17</v>
      </c>
    </row>
    <row r="43" spans="1:4" hidden="1" x14ac:dyDescent="0.15">
      <c r="A43" s="5">
        <v>41655</v>
      </c>
      <c r="B43" t="s">
        <v>26</v>
      </c>
      <c r="C43" s="14">
        <v>8.33</v>
      </c>
    </row>
    <row r="44" spans="1:4" hidden="1" x14ac:dyDescent="0.15">
      <c r="A44" s="5">
        <v>41656</v>
      </c>
      <c r="B44" t="s">
        <v>113</v>
      </c>
      <c r="C44" s="14">
        <v>7</v>
      </c>
    </row>
    <row r="45" spans="1:4" hidden="1" x14ac:dyDescent="0.15">
      <c r="A45" s="5">
        <v>41656</v>
      </c>
      <c r="B45" t="s">
        <v>52</v>
      </c>
      <c r="C45" s="14">
        <v>150</v>
      </c>
      <c r="D45" s="8" t="s">
        <v>68</v>
      </c>
    </row>
    <row r="46" spans="1:4" x14ac:dyDescent="0.15">
      <c r="A46" s="5">
        <v>41656</v>
      </c>
      <c r="B46" t="s">
        <v>1</v>
      </c>
      <c r="C46" s="14">
        <v>72.8</v>
      </c>
      <c r="D46" s="16" t="s">
        <v>275</v>
      </c>
    </row>
    <row r="47" spans="1:4" hidden="1" x14ac:dyDescent="0.15">
      <c r="A47" s="5">
        <v>41656</v>
      </c>
      <c r="B47" t="s">
        <v>22</v>
      </c>
      <c r="C47" s="14">
        <v>5.39</v>
      </c>
    </row>
    <row r="48" spans="1:4" hidden="1" x14ac:dyDescent="0.15">
      <c r="A48" s="5">
        <v>41656</v>
      </c>
      <c r="B48" s="15" t="s">
        <v>310</v>
      </c>
      <c r="C48" s="14">
        <v>100</v>
      </c>
      <c r="D48" s="16" t="s">
        <v>311</v>
      </c>
    </row>
    <row r="49" spans="1:4" hidden="1" x14ac:dyDescent="0.15">
      <c r="A49" s="5">
        <v>41657</v>
      </c>
      <c r="B49" t="s">
        <v>87</v>
      </c>
      <c r="C49" s="14">
        <v>118.39</v>
      </c>
    </row>
    <row r="50" spans="1:4" hidden="1" x14ac:dyDescent="0.15">
      <c r="A50" s="5">
        <v>41657</v>
      </c>
      <c r="B50" t="s">
        <v>27</v>
      </c>
      <c r="C50" s="14">
        <v>7</v>
      </c>
      <c r="D50" s="8" t="s">
        <v>53</v>
      </c>
    </row>
    <row r="51" spans="1:4" hidden="1" x14ac:dyDescent="0.15">
      <c r="A51" s="5">
        <v>41657</v>
      </c>
      <c r="B51" t="s">
        <v>89</v>
      </c>
      <c r="C51" s="14">
        <v>279.32</v>
      </c>
      <c r="D51" s="8" t="s">
        <v>189</v>
      </c>
    </row>
    <row r="52" spans="1:4" hidden="1" x14ac:dyDescent="0.15">
      <c r="A52" s="5">
        <v>41657</v>
      </c>
      <c r="B52" t="s">
        <v>64</v>
      </c>
      <c r="C52" s="14">
        <v>60.67</v>
      </c>
      <c r="D52" s="8" t="s">
        <v>208</v>
      </c>
    </row>
    <row r="53" spans="1:4" hidden="1" x14ac:dyDescent="0.15">
      <c r="A53" s="5">
        <v>41657</v>
      </c>
      <c r="B53" t="s">
        <v>0</v>
      </c>
      <c r="C53" s="14">
        <v>60.62</v>
      </c>
      <c r="D53" s="8" t="s">
        <v>190</v>
      </c>
    </row>
    <row r="54" spans="1:4" hidden="1" x14ac:dyDescent="0.15">
      <c r="A54" s="5">
        <v>41658</v>
      </c>
      <c r="B54" t="s">
        <v>23</v>
      </c>
      <c r="C54" s="14">
        <v>8.7100000000000009</v>
      </c>
      <c r="D54" s="8" t="s">
        <v>119</v>
      </c>
    </row>
    <row r="55" spans="1:4" hidden="1" x14ac:dyDescent="0.15">
      <c r="A55" s="5">
        <v>41658</v>
      </c>
      <c r="B55" t="s">
        <v>64</v>
      </c>
      <c r="C55" s="14">
        <v>19.23</v>
      </c>
    </row>
    <row r="56" spans="1:4" hidden="1" x14ac:dyDescent="0.15">
      <c r="A56" s="5">
        <v>41660</v>
      </c>
      <c r="B56" t="s">
        <v>47</v>
      </c>
      <c r="C56" s="14">
        <v>154.65</v>
      </c>
      <c r="D56" s="8" t="s">
        <v>191</v>
      </c>
    </row>
    <row r="57" spans="1:4" hidden="1" x14ac:dyDescent="0.15">
      <c r="A57" s="5">
        <v>41660</v>
      </c>
      <c r="B57" t="s">
        <v>22</v>
      </c>
      <c r="C57" s="14">
        <v>23.23</v>
      </c>
    </row>
    <row r="58" spans="1:4" hidden="1" x14ac:dyDescent="0.15">
      <c r="A58" s="5">
        <v>41660</v>
      </c>
      <c r="B58" t="s">
        <v>64</v>
      </c>
      <c r="C58" s="14">
        <v>61.61</v>
      </c>
    </row>
    <row r="59" spans="1:4" hidden="1" x14ac:dyDescent="0.15">
      <c r="A59" s="5">
        <v>41660</v>
      </c>
      <c r="B59" t="s">
        <v>54</v>
      </c>
      <c r="C59" s="14">
        <v>29.5</v>
      </c>
    </row>
    <row r="60" spans="1:4" hidden="1" x14ac:dyDescent="0.15">
      <c r="A60" s="5">
        <v>41660</v>
      </c>
      <c r="B60" t="s">
        <v>35</v>
      </c>
      <c r="C60" s="14">
        <v>92.98</v>
      </c>
      <c r="D60" s="8" t="s">
        <v>192</v>
      </c>
    </row>
    <row r="61" spans="1:4" hidden="1" x14ac:dyDescent="0.15">
      <c r="A61" s="5">
        <v>41663</v>
      </c>
      <c r="B61" t="s">
        <v>37</v>
      </c>
      <c r="C61" s="14">
        <v>15</v>
      </c>
      <c r="D61" s="8" t="s">
        <v>193</v>
      </c>
    </row>
    <row r="62" spans="1:4" hidden="1" x14ac:dyDescent="0.15">
      <c r="A62" s="5">
        <v>41664</v>
      </c>
      <c r="B62" t="s">
        <v>64</v>
      </c>
      <c r="C62" s="14">
        <v>28.06</v>
      </c>
    </row>
    <row r="63" spans="1:4" x14ac:dyDescent="0.15">
      <c r="A63" s="5">
        <v>41664</v>
      </c>
      <c r="B63" s="24" t="s">
        <v>161</v>
      </c>
      <c r="C63" s="14">
        <v>400</v>
      </c>
      <c r="D63" s="16" t="s">
        <v>328</v>
      </c>
    </row>
    <row r="64" spans="1:4" hidden="1" x14ac:dyDescent="0.15">
      <c r="A64" s="5">
        <v>41665</v>
      </c>
      <c r="B64" t="s">
        <v>115</v>
      </c>
      <c r="C64" s="14">
        <v>152.41999999999999</v>
      </c>
      <c r="D64" s="8" t="s">
        <v>194</v>
      </c>
    </row>
    <row r="65" spans="1:4" hidden="1" x14ac:dyDescent="0.15">
      <c r="A65" s="5">
        <v>41665</v>
      </c>
      <c r="B65" s="15" t="s">
        <v>153</v>
      </c>
      <c r="C65" s="14">
        <v>3</v>
      </c>
      <c r="D65" s="16" t="s">
        <v>154</v>
      </c>
    </row>
    <row r="66" spans="1:4" hidden="1" x14ac:dyDescent="0.15">
      <c r="A66" s="5">
        <v>41665</v>
      </c>
      <c r="B66" t="s">
        <v>22</v>
      </c>
      <c r="C66" s="14">
        <v>39.75</v>
      </c>
    </row>
    <row r="67" spans="1:4" hidden="1" x14ac:dyDescent="0.15">
      <c r="A67" s="5">
        <v>41665</v>
      </c>
      <c r="B67" t="s">
        <v>64</v>
      </c>
      <c r="C67" s="14">
        <v>7.25</v>
      </c>
    </row>
    <row r="68" spans="1:4" hidden="1" x14ac:dyDescent="0.15">
      <c r="A68" s="5">
        <v>41665</v>
      </c>
      <c r="B68" s="15" t="s">
        <v>16</v>
      </c>
      <c r="C68" s="14">
        <v>20.2</v>
      </c>
      <c r="D68" s="16" t="s">
        <v>208</v>
      </c>
    </row>
    <row r="69" spans="1:4" hidden="1" x14ac:dyDescent="0.15">
      <c r="A69" s="5">
        <v>41666</v>
      </c>
      <c r="B69" t="s">
        <v>22</v>
      </c>
      <c r="C69" s="14">
        <v>8.0399999999999991</v>
      </c>
    </row>
    <row r="70" spans="1:4" hidden="1" x14ac:dyDescent="0.15">
      <c r="A70" s="5">
        <v>41666</v>
      </c>
      <c r="B70" t="s">
        <v>22</v>
      </c>
      <c r="C70" s="14">
        <v>41.93</v>
      </c>
    </row>
    <row r="71" spans="1:4" hidden="1" x14ac:dyDescent="0.15">
      <c r="A71" s="5">
        <v>41667</v>
      </c>
      <c r="B71" t="s">
        <v>64</v>
      </c>
      <c r="C71" s="14">
        <v>39.22</v>
      </c>
      <c r="D71" s="16" t="s">
        <v>267</v>
      </c>
    </row>
    <row r="72" spans="1:4" hidden="1" x14ac:dyDescent="0.15">
      <c r="A72" s="5">
        <v>41667</v>
      </c>
      <c r="B72" t="s">
        <v>37</v>
      </c>
      <c r="C72" s="14">
        <v>10</v>
      </c>
    </row>
    <row r="73" spans="1:4" hidden="1" x14ac:dyDescent="0.15">
      <c r="A73" s="5">
        <v>41667</v>
      </c>
      <c r="B73" s="15" t="s">
        <v>129</v>
      </c>
      <c r="C73" s="14">
        <v>14.48</v>
      </c>
      <c r="D73" s="16" t="s">
        <v>267</v>
      </c>
    </row>
    <row r="74" spans="1:4" hidden="1" x14ac:dyDescent="0.15">
      <c r="A74" s="5">
        <v>41669</v>
      </c>
      <c r="B74" t="s">
        <v>22</v>
      </c>
      <c r="C74" s="14">
        <v>13.05</v>
      </c>
    </row>
    <row r="75" spans="1:4" hidden="1" x14ac:dyDescent="0.15">
      <c r="A75" s="5">
        <v>41669</v>
      </c>
      <c r="B75" t="s">
        <v>22</v>
      </c>
      <c r="C75" s="14">
        <v>2.25</v>
      </c>
    </row>
    <row r="76" spans="1:4" x14ac:dyDescent="0.15">
      <c r="A76" s="5">
        <v>41670</v>
      </c>
      <c r="B76" t="s">
        <v>1</v>
      </c>
      <c r="C76" s="14">
        <v>200</v>
      </c>
    </row>
    <row r="77" spans="1:4" hidden="1" x14ac:dyDescent="0.15">
      <c r="A77" s="5">
        <v>41670</v>
      </c>
      <c r="B77" t="s">
        <v>22</v>
      </c>
      <c r="C77" s="14">
        <v>10.99</v>
      </c>
    </row>
    <row r="78" spans="1:4" hidden="1" x14ac:dyDescent="0.15">
      <c r="A78" s="5">
        <v>41670</v>
      </c>
      <c r="B78" t="s">
        <v>22</v>
      </c>
      <c r="C78" s="14">
        <v>3.95</v>
      </c>
    </row>
    <row r="79" spans="1:4" hidden="1" x14ac:dyDescent="0.15">
      <c r="A79" s="5">
        <v>41670</v>
      </c>
      <c r="B79" t="s">
        <v>37</v>
      </c>
      <c r="C79" s="14">
        <v>15</v>
      </c>
    </row>
    <row r="80" spans="1:4" hidden="1" x14ac:dyDescent="0.15">
      <c r="A80" s="5">
        <v>41670</v>
      </c>
      <c r="B80" t="s">
        <v>37</v>
      </c>
      <c r="C80" s="14">
        <v>10</v>
      </c>
    </row>
    <row r="81" spans="1:4" hidden="1" x14ac:dyDescent="0.15">
      <c r="A81" s="5">
        <v>41670</v>
      </c>
      <c r="B81" s="14" t="s">
        <v>54</v>
      </c>
      <c r="C81" s="14">
        <v>132.6</v>
      </c>
      <c r="D81" s="8" t="s">
        <v>55</v>
      </c>
    </row>
    <row r="82" spans="1:4" hidden="1" x14ac:dyDescent="0.15">
      <c r="A82" s="5">
        <v>41670</v>
      </c>
      <c r="B82" t="s">
        <v>345</v>
      </c>
      <c r="C82" s="14">
        <v>15</v>
      </c>
      <c r="D82" s="8" t="s">
        <v>208</v>
      </c>
    </row>
    <row r="83" spans="1:4" hidden="1" x14ac:dyDescent="0.15">
      <c r="A83" s="5">
        <v>41671</v>
      </c>
      <c r="B83" t="s">
        <v>113</v>
      </c>
      <c r="C83" s="14">
        <v>12</v>
      </c>
    </row>
    <row r="84" spans="1:4" hidden="1" x14ac:dyDescent="0.15">
      <c r="A84" s="5">
        <v>41671</v>
      </c>
      <c r="B84" t="s">
        <v>21</v>
      </c>
      <c r="C84" s="14">
        <v>18.12</v>
      </c>
    </row>
    <row r="85" spans="1:4" hidden="1" x14ac:dyDescent="0.15">
      <c r="A85" s="5">
        <v>41671</v>
      </c>
      <c r="B85" t="s">
        <v>129</v>
      </c>
      <c r="C85" s="14">
        <v>13.5</v>
      </c>
    </row>
    <row r="86" spans="1:4" hidden="1" x14ac:dyDescent="0.15">
      <c r="A86" s="5">
        <v>41671</v>
      </c>
      <c r="B86" t="s">
        <v>42</v>
      </c>
      <c r="C86" s="14">
        <v>85.98</v>
      </c>
    </row>
    <row r="87" spans="1:4" hidden="1" x14ac:dyDescent="0.15">
      <c r="A87" s="5">
        <v>41671</v>
      </c>
      <c r="B87" s="15" t="s">
        <v>82</v>
      </c>
      <c r="C87" s="14">
        <v>25.25</v>
      </c>
      <c r="D87" s="8" t="s">
        <v>208</v>
      </c>
    </row>
    <row r="88" spans="1:4" hidden="1" x14ac:dyDescent="0.15">
      <c r="A88" s="5">
        <v>41672</v>
      </c>
      <c r="B88" t="s">
        <v>64</v>
      </c>
      <c r="C88" s="14">
        <v>135.79</v>
      </c>
      <c r="D88" s="16" t="s">
        <v>268</v>
      </c>
    </row>
    <row r="89" spans="1:4" hidden="1" x14ac:dyDescent="0.15">
      <c r="A89" s="5">
        <v>41672</v>
      </c>
      <c r="B89" t="s">
        <v>64</v>
      </c>
      <c r="C89" s="14">
        <v>131.12</v>
      </c>
    </row>
    <row r="90" spans="1:4" hidden="1" x14ac:dyDescent="0.15">
      <c r="A90" s="5">
        <v>41672</v>
      </c>
      <c r="B90" s="15" t="s">
        <v>173</v>
      </c>
      <c r="C90" s="14">
        <v>26.65</v>
      </c>
    </row>
    <row r="91" spans="1:4" hidden="1" x14ac:dyDescent="0.15">
      <c r="A91" s="5">
        <v>41672</v>
      </c>
      <c r="B91" t="s">
        <v>31</v>
      </c>
      <c r="C91" s="14">
        <v>111.12</v>
      </c>
      <c r="D91" s="16" t="s">
        <v>262</v>
      </c>
    </row>
    <row r="92" spans="1:4" hidden="1" x14ac:dyDescent="0.15">
      <c r="A92" s="5">
        <v>41672</v>
      </c>
      <c r="B92" t="s">
        <v>26</v>
      </c>
      <c r="C92" s="14">
        <v>8.3000000000000007</v>
      </c>
    </row>
    <row r="93" spans="1:4" hidden="1" x14ac:dyDescent="0.15">
      <c r="A93" s="5">
        <v>41672</v>
      </c>
      <c r="B93" s="15" t="s">
        <v>159</v>
      </c>
      <c r="C93" s="14">
        <v>5.08</v>
      </c>
      <c r="D93" s="16" t="s">
        <v>268</v>
      </c>
    </row>
    <row r="94" spans="1:4" hidden="1" x14ac:dyDescent="0.15">
      <c r="A94" s="5">
        <v>41673</v>
      </c>
      <c r="B94" t="s">
        <v>78</v>
      </c>
      <c r="C94" s="14">
        <v>3.26</v>
      </c>
    </row>
    <row r="95" spans="1:4" hidden="1" x14ac:dyDescent="0.15">
      <c r="A95" s="5">
        <v>41673</v>
      </c>
      <c r="B95" t="s">
        <v>195</v>
      </c>
      <c r="C95" s="14">
        <v>30.15</v>
      </c>
    </row>
    <row r="96" spans="1:4" hidden="1" x14ac:dyDescent="0.15">
      <c r="A96" s="5">
        <v>41675</v>
      </c>
      <c r="B96" t="s">
        <v>51</v>
      </c>
      <c r="C96" s="14">
        <v>45</v>
      </c>
    </row>
    <row r="97" spans="1:4" hidden="1" x14ac:dyDescent="0.15">
      <c r="A97" s="5">
        <v>41675</v>
      </c>
      <c r="B97" t="s">
        <v>34</v>
      </c>
      <c r="C97" s="14">
        <v>1000</v>
      </c>
      <c r="D97" s="8" t="s">
        <v>279</v>
      </c>
    </row>
    <row r="98" spans="1:4" hidden="1" x14ac:dyDescent="0.15">
      <c r="A98" s="5">
        <v>41676</v>
      </c>
      <c r="B98" t="s">
        <v>314</v>
      </c>
      <c r="C98" s="14">
        <v>50</v>
      </c>
    </row>
    <row r="99" spans="1:4" hidden="1" x14ac:dyDescent="0.15">
      <c r="A99" s="5">
        <v>41676</v>
      </c>
      <c r="B99" t="s">
        <v>76</v>
      </c>
      <c r="C99" s="14">
        <v>150</v>
      </c>
    </row>
    <row r="100" spans="1:4" hidden="1" x14ac:dyDescent="0.15">
      <c r="A100" s="5">
        <v>41677</v>
      </c>
      <c r="B100" t="s">
        <v>77</v>
      </c>
      <c r="C100" s="14">
        <v>154.44999999999999</v>
      </c>
    </row>
    <row r="101" spans="1:4" ht="26" hidden="1" x14ac:dyDescent="0.15">
      <c r="A101" s="5">
        <v>41677</v>
      </c>
      <c r="B101" t="s">
        <v>64</v>
      </c>
      <c r="C101" s="14">
        <v>59.58</v>
      </c>
      <c r="D101" s="16" t="s">
        <v>265</v>
      </c>
    </row>
    <row r="102" spans="1:4" hidden="1" x14ac:dyDescent="0.15">
      <c r="A102" s="5">
        <v>41677</v>
      </c>
      <c r="B102" s="15" t="s">
        <v>132</v>
      </c>
      <c r="C102" s="14">
        <v>3.49</v>
      </c>
      <c r="D102" s="16" t="s">
        <v>266</v>
      </c>
    </row>
    <row r="103" spans="1:4" hidden="1" x14ac:dyDescent="0.15">
      <c r="A103" s="5">
        <v>41677</v>
      </c>
      <c r="B103" s="24" t="s">
        <v>159</v>
      </c>
      <c r="C103" s="14">
        <v>4.4800000000000004</v>
      </c>
      <c r="D103" s="16" t="s">
        <v>266</v>
      </c>
    </row>
    <row r="104" spans="1:4" hidden="1" x14ac:dyDescent="0.15">
      <c r="A104" s="5">
        <v>41677</v>
      </c>
      <c r="B104" s="24" t="s">
        <v>175</v>
      </c>
      <c r="C104" s="14">
        <v>25.96</v>
      </c>
      <c r="D104" s="16" t="s">
        <v>266</v>
      </c>
    </row>
    <row r="105" spans="1:4" hidden="1" x14ac:dyDescent="0.15">
      <c r="A105" s="5">
        <v>41678</v>
      </c>
      <c r="B105" t="s">
        <v>24</v>
      </c>
      <c r="C105" s="14">
        <v>26.38</v>
      </c>
      <c r="D105" s="16" t="s">
        <v>273</v>
      </c>
    </row>
    <row r="106" spans="1:4" hidden="1" x14ac:dyDescent="0.15">
      <c r="A106" s="5">
        <v>41679</v>
      </c>
      <c r="B106" t="s">
        <v>22</v>
      </c>
      <c r="C106" s="14">
        <v>2.4500000000000002</v>
      </c>
    </row>
    <row r="107" spans="1:4" hidden="1" x14ac:dyDescent="0.15">
      <c r="A107" s="5">
        <v>41679</v>
      </c>
      <c r="B107" t="s">
        <v>64</v>
      </c>
      <c r="C107" s="14">
        <v>19.23</v>
      </c>
    </row>
    <row r="108" spans="1:4" hidden="1" x14ac:dyDescent="0.15">
      <c r="A108" s="5">
        <v>41679</v>
      </c>
      <c r="B108" t="s">
        <v>122</v>
      </c>
      <c r="C108" s="14">
        <v>181.82</v>
      </c>
      <c r="D108" s="8" t="s">
        <v>196</v>
      </c>
    </row>
    <row r="109" spans="1:4" hidden="1" x14ac:dyDescent="0.15">
      <c r="A109" s="5">
        <v>41680</v>
      </c>
      <c r="B109" t="s">
        <v>22</v>
      </c>
      <c r="C109" s="14">
        <v>5.39</v>
      </c>
    </row>
    <row r="110" spans="1:4" hidden="1" x14ac:dyDescent="0.15">
      <c r="A110" s="5">
        <v>41680</v>
      </c>
      <c r="B110" t="s">
        <v>64</v>
      </c>
      <c r="C110" s="14">
        <v>8.4600000000000009</v>
      </c>
    </row>
    <row r="111" spans="1:4" hidden="1" x14ac:dyDescent="0.15">
      <c r="A111" s="5">
        <v>41680</v>
      </c>
      <c r="B111" t="s">
        <v>78</v>
      </c>
      <c r="C111" s="14">
        <v>77.52</v>
      </c>
    </row>
    <row r="112" spans="1:4" hidden="1" x14ac:dyDescent="0.15">
      <c r="A112" s="5">
        <v>41681</v>
      </c>
      <c r="B112" t="s">
        <v>22</v>
      </c>
      <c r="C112" s="14">
        <v>17.29</v>
      </c>
    </row>
    <row r="113" spans="1:4" hidden="1" x14ac:dyDescent="0.15">
      <c r="A113" s="5">
        <v>41681</v>
      </c>
      <c r="B113" s="15" t="s">
        <v>173</v>
      </c>
      <c r="C113" s="14">
        <v>18.5</v>
      </c>
    </row>
    <row r="114" spans="1:4" hidden="1" x14ac:dyDescent="0.15">
      <c r="A114" s="5">
        <v>41681</v>
      </c>
      <c r="B114" t="s">
        <v>45</v>
      </c>
      <c r="C114" s="14">
        <v>3</v>
      </c>
      <c r="D114" s="8" t="s">
        <v>80</v>
      </c>
    </row>
    <row r="115" spans="1:4" hidden="1" x14ac:dyDescent="0.15">
      <c r="A115" s="5">
        <v>41681</v>
      </c>
      <c r="B115" t="s">
        <v>45</v>
      </c>
      <c r="C115" s="14">
        <v>1.5</v>
      </c>
      <c r="D115" s="8" t="s">
        <v>80</v>
      </c>
    </row>
    <row r="116" spans="1:4" hidden="1" x14ac:dyDescent="0.15">
      <c r="A116" s="5">
        <v>41681</v>
      </c>
      <c r="B116" t="s">
        <v>27</v>
      </c>
      <c r="C116" s="14">
        <v>1479.95</v>
      </c>
      <c r="D116" s="8" t="s">
        <v>28</v>
      </c>
    </row>
    <row r="117" spans="1:4" hidden="1" x14ac:dyDescent="0.15">
      <c r="A117" s="5">
        <v>41681</v>
      </c>
      <c r="B117" t="s">
        <v>27</v>
      </c>
      <c r="C117" s="14">
        <v>159.88</v>
      </c>
      <c r="D117" s="8" t="s">
        <v>197</v>
      </c>
    </row>
    <row r="118" spans="1:4" hidden="1" x14ac:dyDescent="0.15">
      <c r="A118" s="5">
        <v>41681</v>
      </c>
      <c r="B118" t="s">
        <v>20</v>
      </c>
      <c r="C118" s="14">
        <v>4.99</v>
      </c>
    </row>
    <row r="119" spans="1:4" hidden="1" x14ac:dyDescent="0.15">
      <c r="A119" s="5">
        <v>41681</v>
      </c>
      <c r="B119" t="s">
        <v>22</v>
      </c>
      <c r="C119" s="14">
        <v>5.39</v>
      </c>
    </row>
    <row r="120" spans="1:4" hidden="1" x14ac:dyDescent="0.15">
      <c r="A120" s="5">
        <v>41681</v>
      </c>
      <c r="B120" t="s">
        <v>37</v>
      </c>
      <c r="C120" s="14">
        <v>19.899999999999999</v>
      </c>
    </row>
    <row r="121" spans="1:4" hidden="1" x14ac:dyDescent="0.15">
      <c r="A121" s="5">
        <v>41681</v>
      </c>
      <c r="B121" t="s">
        <v>22</v>
      </c>
      <c r="C121" s="14">
        <v>23.23</v>
      </c>
    </row>
    <row r="122" spans="1:4" hidden="1" x14ac:dyDescent="0.15">
      <c r="A122" s="5">
        <v>41681</v>
      </c>
      <c r="B122" t="s">
        <v>22</v>
      </c>
      <c r="C122" s="14">
        <v>6.41</v>
      </c>
    </row>
    <row r="123" spans="1:4" hidden="1" x14ac:dyDescent="0.15">
      <c r="A123" s="5">
        <v>41681</v>
      </c>
      <c r="B123" t="s">
        <v>64</v>
      </c>
      <c r="C123" s="14">
        <f>48.38 - 9.98</f>
        <v>38.400000000000006</v>
      </c>
      <c r="D123" s="16" t="s">
        <v>270</v>
      </c>
    </row>
    <row r="124" spans="1:4" hidden="1" x14ac:dyDescent="0.15">
      <c r="A124" s="5">
        <v>41681</v>
      </c>
      <c r="B124" t="s">
        <v>78</v>
      </c>
      <c r="C124" s="14">
        <v>97.52</v>
      </c>
      <c r="D124" s="8" t="s">
        <v>79</v>
      </c>
    </row>
    <row r="125" spans="1:4" hidden="1" x14ac:dyDescent="0.15">
      <c r="A125" s="5">
        <v>41681</v>
      </c>
      <c r="B125" t="s">
        <v>64</v>
      </c>
      <c r="C125" s="14">
        <v>48.38</v>
      </c>
      <c r="D125" s="16" t="s">
        <v>274</v>
      </c>
    </row>
    <row r="126" spans="1:4" hidden="1" x14ac:dyDescent="0.15">
      <c r="A126" s="5">
        <v>41681</v>
      </c>
      <c r="B126" t="s">
        <v>84</v>
      </c>
      <c r="C126" s="14">
        <v>10.5</v>
      </c>
      <c r="D126" s="8" t="s">
        <v>81</v>
      </c>
    </row>
    <row r="127" spans="1:4" hidden="1" x14ac:dyDescent="0.15">
      <c r="A127" s="5">
        <v>41681</v>
      </c>
      <c r="B127" t="s">
        <v>26</v>
      </c>
      <c r="C127" s="14">
        <v>9.9499999999999993</v>
      </c>
    </row>
    <row r="128" spans="1:4" hidden="1" x14ac:dyDescent="0.15">
      <c r="A128" s="5">
        <v>41681</v>
      </c>
      <c r="B128" t="s">
        <v>26</v>
      </c>
      <c r="C128" s="14">
        <v>14.75</v>
      </c>
    </row>
    <row r="129" spans="1:4" hidden="1" x14ac:dyDescent="0.15">
      <c r="A129" s="5">
        <v>41681</v>
      </c>
      <c r="B129" s="15" t="s">
        <v>172</v>
      </c>
      <c r="C129" s="14">
        <v>9.98</v>
      </c>
      <c r="D129" s="16" t="s">
        <v>271</v>
      </c>
    </row>
    <row r="130" spans="1:4" hidden="1" x14ac:dyDescent="0.15">
      <c r="A130" s="5">
        <v>41681</v>
      </c>
      <c r="B130" s="15" t="s">
        <v>25</v>
      </c>
      <c r="C130" s="14">
        <v>28.38</v>
      </c>
      <c r="D130" s="8" t="s">
        <v>275</v>
      </c>
    </row>
    <row r="131" spans="1:4" hidden="1" x14ac:dyDescent="0.15">
      <c r="A131" s="5">
        <v>41682</v>
      </c>
      <c r="B131" t="s">
        <v>195</v>
      </c>
      <c r="C131" s="14">
        <v>19.059999999999999</v>
      </c>
    </row>
    <row r="132" spans="1:4" hidden="1" x14ac:dyDescent="0.15">
      <c r="A132" s="5">
        <v>41682</v>
      </c>
      <c r="B132" t="s">
        <v>26</v>
      </c>
      <c r="C132" s="14">
        <v>9.9600000000000009</v>
      </c>
    </row>
    <row r="133" spans="1:4" hidden="1" x14ac:dyDescent="0.15">
      <c r="A133" s="5">
        <v>41683</v>
      </c>
      <c r="B133" t="s">
        <v>37</v>
      </c>
      <c r="C133" s="14">
        <v>23</v>
      </c>
      <c r="D133" s="8" t="s">
        <v>170</v>
      </c>
    </row>
    <row r="134" spans="1:4" hidden="1" x14ac:dyDescent="0.15">
      <c r="A134" s="5">
        <v>41683</v>
      </c>
      <c r="B134" t="s">
        <v>0</v>
      </c>
      <c r="C134" s="14">
        <v>61.7</v>
      </c>
    </row>
    <row r="135" spans="1:4" hidden="1" x14ac:dyDescent="0.15">
      <c r="A135" s="5">
        <v>41683</v>
      </c>
      <c r="B135" t="s">
        <v>64</v>
      </c>
      <c r="C135" s="14">
        <v>48.05</v>
      </c>
      <c r="D135" s="16" t="s">
        <v>261</v>
      </c>
    </row>
    <row r="136" spans="1:4" hidden="1" x14ac:dyDescent="0.15">
      <c r="A136" s="5">
        <v>41683</v>
      </c>
      <c r="B136" t="s">
        <v>126</v>
      </c>
      <c r="C136" s="14">
        <v>34.950000000000003</v>
      </c>
      <c r="D136" s="16" t="s">
        <v>261</v>
      </c>
    </row>
    <row r="137" spans="1:4" hidden="1" x14ac:dyDescent="0.15">
      <c r="A137" s="5">
        <v>41683</v>
      </c>
      <c r="B137" s="15" t="s">
        <v>132</v>
      </c>
      <c r="C137" s="14">
        <v>13.57</v>
      </c>
      <c r="D137" s="16" t="s">
        <v>261</v>
      </c>
    </row>
    <row r="138" spans="1:4" hidden="1" x14ac:dyDescent="0.15">
      <c r="A138" s="5">
        <v>41684</v>
      </c>
      <c r="B138" t="s">
        <v>57</v>
      </c>
      <c r="C138" s="14">
        <v>58.5</v>
      </c>
    </row>
    <row r="139" spans="1:4" hidden="1" x14ac:dyDescent="0.15">
      <c r="A139" s="5">
        <v>41684</v>
      </c>
      <c r="B139" t="s">
        <v>113</v>
      </c>
      <c r="C139" s="14">
        <v>58.5</v>
      </c>
    </row>
    <row r="140" spans="1:4" hidden="1" x14ac:dyDescent="0.15">
      <c r="A140" s="5">
        <v>41684</v>
      </c>
      <c r="B140" t="s">
        <v>22</v>
      </c>
      <c r="C140" s="14">
        <v>7.27</v>
      </c>
      <c r="D140" s="8" t="s">
        <v>44</v>
      </c>
    </row>
    <row r="141" spans="1:4" hidden="1" x14ac:dyDescent="0.15">
      <c r="A141" s="5">
        <v>41684</v>
      </c>
      <c r="B141" t="s">
        <v>26</v>
      </c>
      <c r="C141" s="14">
        <v>10.56</v>
      </c>
    </row>
    <row r="142" spans="1:4" hidden="1" x14ac:dyDescent="0.15">
      <c r="A142" s="5">
        <v>41684</v>
      </c>
      <c r="B142" t="s">
        <v>26</v>
      </c>
      <c r="C142" s="14">
        <v>10.56</v>
      </c>
    </row>
    <row r="143" spans="1:4" hidden="1" x14ac:dyDescent="0.15">
      <c r="A143" s="5">
        <v>41685</v>
      </c>
      <c r="B143" t="s">
        <v>22</v>
      </c>
      <c r="C143" s="14">
        <v>13.03</v>
      </c>
    </row>
    <row r="144" spans="1:4" hidden="1" x14ac:dyDescent="0.15">
      <c r="A144" s="5">
        <v>41685</v>
      </c>
      <c r="B144" t="s">
        <v>54</v>
      </c>
      <c r="C144" s="14">
        <v>13.95</v>
      </c>
      <c r="D144" s="8" t="s">
        <v>58</v>
      </c>
    </row>
    <row r="145" spans="1:4" hidden="1" x14ac:dyDescent="0.15">
      <c r="A145" s="5">
        <v>41685</v>
      </c>
      <c r="B145" t="s">
        <v>84</v>
      </c>
      <c r="C145" s="14">
        <v>13.95</v>
      </c>
      <c r="D145" s="8" t="s">
        <v>58</v>
      </c>
    </row>
    <row r="146" spans="1:4" hidden="1" x14ac:dyDescent="0.15">
      <c r="A146" s="5">
        <v>41687</v>
      </c>
      <c r="B146" s="15" t="s">
        <v>16</v>
      </c>
      <c r="C146" s="14">
        <v>23.16</v>
      </c>
      <c r="D146" s="16" t="s">
        <v>293</v>
      </c>
    </row>
    <row r="147" spans="1:4" hidden="1" x14ac:dyDescent="0.15">
      <c r="A147" s="5">
        <v>41687</v>
      </c>
      <c r="B147" s="15" t="s">
        <v>310</v>
      </c>
      <c r="C147" s="14">
        <v>100</v>
      </c>
      <c r="D147" s="16" t="s">
        <v>311</v>
      </c>
    </row>
    <row r="148" spans="1:4" hidden="1" x14ac:dyDescent="0.15">
      <c r="A148" s="5">
        <v>41689</v>
      </c>
      <c r="B148" t="s">
        <v>27</v>
      </c>
      <c r="C148" s="14">
        <v>7</v>
      </c>
      <c r="D148" s="8" t="s">
        <v>53</v>
      </c>
    </row>
    <row r="149" spans="1:4" hidden="1" x14ac:dyDescent="0.15">
      <c r="A149" s="5">
        <v>41689</v>
      </c>
      <c r="B149" t="s">
        <v>22</v>
      </c>
      <c r="C149" s="14">
        <v>7.27</v>
      </c>
    </row>
    <row r="150" spans="1:4" hidden="1" x14ac:dyDescent="0.15">
      <c r="A150" s="5">
        <v>41689</v>
      </c>
      <c r="B150" t="s">
        <v>186</v>
      </c>
      <c r="C150" s="14">
        <v>7.27</v>
      </c>
    </row>
    <row r="151" spans="1:4" hidden="1" x14ac:dyDescent="0.15">
      <c r="A151" s="5">
        <v>41689</v>
      </c>
      <c r="B151" t="s">
        <v>84</v>
      </c>
      <c r="C151" s="14">
        <v>35</v>
      </c>
      <c r="D151" s="8" t="s">
        <v>81</v>
      </c>
    </row>
    <row r="152" spans="1:4" hidden="1" x14ac:dyDescent="0.15">
      <c r="A152" s="5">
        <v>41689</v>
      </c>
      <c r="B152" t="s">
        <v>26</v>
      </c>
      <c r="C152" s="14">
        <v>15.35</v>
      </c>
    </row>
    <row r="153" spans="1:4" hidden="1" x14ac:dyDescent="0.15">
      <c r="A153" s="5">
        <v>41689</v>
      </c>
      <c r="B153" t="s">
        <v>26</v>
      </c>
      <c r="C153" s="14">
        <v>17.149999999999999</v>
      </c>
    </row>
    <row r="154" spans="1:4" hidden="1" x14ac:dyDescent="0.15">
      <c r="A154" s="5">
        <v>41689</v>
      </c>
      <c r="B154" t="s">
        <v>26</v>
      </c>
      <c r="C154" s="14">
        <v>17.149999999999999</v>
      </c>
    </row>
    <row r="155" spans="1:4" hidden="1" x14ac:dyDescent="0.15">
      <c r="A155" s="5">
        <v>41689</v>
      </c>
      <c r="B155" t="s">
        <v>26</v>
      </c>
      <c r="C155" s="14">
        <v>15.35</v>
      </c>
    </row>
    <row r="156" spans="1:4" hidden="1" x14ac:dyDescent="0.15">
      <c r="A156" s="5">
        <v>41690</v>
      </c>
      <c r="B156" t="s">
        <v>45</v>
      </c>
      <c r="C156" s="14">
        <v>35</v>
      </c>
      <c r="D156" s="8" t="s">
        <v>46</v>
      </c>
    </row>
    <row r="157" spans="1:4" hidden="1" x14ac:dyDescent="0.15">
      <c r="A157" s="5">
        <v>41690</v>
      </c>
      <c r="B157" t="s">
        <v>51</v>
      </c>
      <c r="C157" s="14">
        <v>75</v>
      </c>
    </row>
    <row r="158" spans="1:4" hidden="1" x14ac:dyDescent="0.15">
      <c r="A158" s="5">
        <v>41690</v>
      </c>
      <c r="B158" t="s">
        <v>75</v>
      </c>
      <c r="C158" s="14">
        <v>45</v>
      </c>
    </row>
    <row r="159" spans="1:4" hidden="1" x14ac:dyDescent="0.15">
      <c r="A159" s="5">
        <v>41690</v>
      </c>
      <c r="B159" t="s">
        <v>89</v>
      </c>
      <c r="C159" s="14">
        <v>312.98</v>
      </c>
      <c r="D159" s="8" t="s">
        <v>189</v>
      </c>
    </row>
    <row r="160" spans="1:4" hidden="1" x14ac:dyDescent="0.15">
      <c r="A160" s="5">
        <v>41691</v>
      </c>
      <c r="B160" s="3" t="s">
        <v>88</v>
      </c>
      <c r="C160" s="14">
        <v>92.98</v>
      </c>
    </row>
    <row r="161" spans="1:4" hidden="1" x14ac:dyDescent="0.15">
      <c r="A161" s="5">
        <v>41691</v>
      </c>
      <c r="B161" s="15" t="s">
        <v>129</v>
      </c>
      <c r="C161" s="14">
        <v>30.92</v>
      </c>
      <c r="D161" s="16" t="s">
        <v>164</v>
      </c>
    </row>
    <row r="162" spans="1:4" hidden="1" x14ac:dyDescent="0.15">
      <c r="A162" s="5">
        <v>41692</v>
      </c>
      <c r="B162" t="s">
        <v>153</v>
      </c>
      <c r="C162" s="14">
        <v>9</v>
      </c>
      <c r="D162" s="8" t="s">
        <v>198</v>
      </c>
    </row>
    <row r="163" spans="1:4" hidden="1" x14ac:dyDescent="0.15">
      <c r="A163" s="5">
        <v>41692</v>
      </c>
      <c r="B163" t="s">
        <v>87</v>
      </c>
      <c r="C163" s="14">
        <v>132.53</v>
      </c>
      <c r="D163" s="8" t="s">
        <v>199</v>
      </c>
    </row>
    <row r="164" spans="1:4" hidden="1" x14ac:dyDescent="0.15">
      <c r="A164" s="5">
        <v>41692</v>
      </c>
      <c r="B164" t="s">
        <v>132</v>
      </c>
      <c r="C164" s="14">
        <v>60.6</v>
      </c>
      <c r="D164" s="8" t="s">
        <v>200</v>
      </c>
    </row>
    <row r="165" spans="1:4" hidden="1" x14ac:dyDescent="0.15">
      <c r="A165" s="5">
        <v>41692</v>
      </c>
      <c r="B165" t="s">
        <v>132</v>
      </c>
      <c r="C165" s="14">
        <v>12</v>
      </c>
      <c r="D165" s="8" t="s">
        <v>201</v>
      </c>
    </row>
    <row r="166" spans="1:4" hidden="1" x14ac:dyDescent="0.15">
      <c r="A166" s="5">
        <v>41693</v>
      </c>
      <c r="B166" t="s">
        <v>186</v>
      </c>
      <c r="C166" s="14">
        <v>13.07</v>
      </c>
      <c r="D166" s="8" t="s">
        <v>202</v>
      </c>
    </row>
    <row r="167" spans="1:4" hidden="1" x14ac:dyDescent="0.15">
      <c r="A167" s="5">
        <v>41695</v>
      </c>
      <c r="B167" t="s">
        <v>62</v>
      </c>
      <c r="C167" s="14">
        <v>26.94</v>
      </c>
      <c r="D167" s="8" t="s">
        <v>204</v>
      </c>
    </row>
    <row r="168" spans="1:4" x14ac:dyDescent="0.15">
      <c r="A168" s="5">
        <v>41695</v>
      </c>
      <c r="B168" t="s">
        <v>161</v>
      </c>
      <c r="C168" s="14">
        <v>300</v>
      </c>
      <c r="D168" s="8" t="s">
        <v>203</v>
      </c>
    </row>
    <row r="169" spans="1:4" hidden="1" x14ac:dyDescent="0.15">
      <c r="A169" s="5">
        <v>41695</v>
      </c>
      <c r="B169" t="s">
        <v>205</v>
      </c>
      <c r="C169" s="14">
        <v>706.73</v>
      </c>
      <c r="D169" s="8" t="s">
        <v>206</v>
      </c>
    </row>
    <row r="170" spans="1:4" hidden="1" x14ac:dyDescent="0.15">
      <c r="A170" s="5">
        <v>41696</v>
      </c>
      <c r="B170" t="s">
        <v>92</v>
      </c>
      <c r="C170" s="14">
        <v>100</v>
      </c>
    </row>
    <row r="171" spans="1:4" hidden="1" x14ac:dyDescent="0.15">
      <c r="A171" s="5">
        <v>41696</v>
      </c>
      <c r="B171" t="s">
        <v>91</v>
      </c>
      <c r="C171" s="14">
        <v>100</v>
      </c>
    </row>
    <row r="172" spans="1:4" hidden="1" x14ac:dyDescent="0.15">
      <c r="A172" s="5">
        <v>41696</v>
      </c>
      <c r="B172" s="15" t="s">
        <v>16</v>
      </c>
      <c r="C172" s="14">
        <v>24.76</v>
      </c>
      <c r="D172" s="16" t="s">
        <v>294</v>
      </c>
    </row>
    <row r="173" spans="1:4" hidden="1" x14ac:dyDescent="0.15">
      <c r="A173" s="5">
        <v>41697</v>
      </c>
      <c r="B173" t="s">
        <v>76</v>
      </c>
      <c r="C173" s="14">
        <v>500</v>
      </c>
    </row>
    <row r="174" spans="1:4" hidden="1" x14ac:dyDescent="0.15">
      <c r="A174" s="5">
        <v>41697</v>
      </c>
      <c r="B174" t="s">
        <v>64</v>
      </c>
      <c r="C174" s="14">
        <v>12.76</v>
      </c>
    </row>
    <row r="175" spans="1:4" hidden="1" x14ac:dyDescent="0.15">
      <c r="A175" s="5">
        <v>41697</v>
      </c>
      <c r="B175" t="s">
        <v>25</v>
      </c>
      <c r="C175" s="14">
        <v>170.12</v>
      </c>
      <c r="D175" s="16" t="s">
        <v>259</v>
      </c>
    </row>
    <row r="176" spans="1:4" hidden="1" x14ac:dyDescent="0.15">
      <c r="A176" s="5">
        <v>41697</v>
      </c>
      <c r="B176" s="15" t="s">
        <v>129</v>
      </c>
      <c r="C176" s="14">
        <v>25.33</v>
      </c>
      <c r="D176" s="16" t="s">
        <v>259</v>
      </c>
    </row>
    <row r="177" spans="1:4" hidden="1" x14ac:dyDescent="0.15">
      <c r="A177" s="5">
        <v>41698</v>
      </c>
      <c r="B177" s="15" t="s">
        <v>21</v>
      </c>
      <c r="C177" s="14">
        <v>6.23</v>
      </c>
    </row>
    <row r="178" spans="1:4" hidden="1" x14ac:dyDescent="0.15">
      <c r="A178" s="5">
        <v>41698</v>
      </c>
      <c r="B178" t="s">
        <v>25</v>
      </c>
      <c r="C178" s="14">
        <v>12.78</v>
      </c>
      <c r="D178" s="8" t="s">
        <v>207</v>
      </c>
    </row>
    <row r="179" spans="1:4" hidden="1" x14ac:dyDescent="0.15">
      <c r="A179" s="5">
        <v>41698</v>
      </c>
      <c r="B179" t="s">
        <v>54</v>
      </c>
      <c r="C179" s="14">
        <f>44.2*5</f>
        <v>221</v>
      </c>
      <c r="D179" s="8" t="s">
        <v>55</v>
      </c>
    </row>
    <row r="180" spans="1:4" hidden="1" x14ac:dyDescent="0.15">
      <c r="A180" s="5">
        <v>41698</v>
      </c>
      <c r="B180" t="s">
        <v>281</v>
      </c>
      <c r="C180" s="14">
        <v>1000</v>
      </c>
      <c r="D180" s="8" t="s">
        <v>275</v>
      </c>
    </row>
    <row r="181" spans="1:4" hidden="1" x14ac:dyDescent="0.15">
      <c r="A181" s="5">
        <v>41698</v>
      </c>
      <c r="B181" t="s">
        <v>345</v>
      </c>
      <c r="C181" s="14">
        <v>15</v>
      </c>
      <c r="D181" s="8" t="s">
        <v>208</v>
      </c>
    </row>
    <row r="182" spans="1:4" hidden="1" x14ac:dyDescent="0.15">
      <c r="A182" s="5">
        <v>41699</v>
      </c>
      <c r="B182" t="s">
        <v>82</v>
      </c>
      <c r="C182" s="14">
        <v>25.25</v>
      </c>
      <c r="D182" s="8" t="s">
        <v>208</v>
      </c>
    </row>
    <row r="183" spans="1:4" hidden="1" x14ac:dyDescent="0.15">
      <c r="A183" s="5">
        <v>41699</v>
      </c>
      <c r="B183" t="s">
        <v>83</v>
      </c>
      <c r="C183" s="14">
        <v>15</v>
      </c>
      <c r="D183" s="8" t="s">
        <v>208</v>
      </c>
    </row>
    <row r="184" spans="1:4" hidden="1" x14ac:dyDescent="0.15">
      <c r="A184" s="5">
        <v>41701</v>
      </c>
      <c r="B184" s="15" t="s">
        <v>16</v>
      </c>
      <c r="C184" s="14">
        <v>12.36</v>
      </c>
      <c r="D184" s="8" t="s">
        <v>277</v>
      </c>
    </row>
    <row r="185" spans="1:4" hidden="1" x14ac:dyDescent="0.15">
      <c r="A185" s="5">
        <v>41701</v>
      </c>
      <c r="B185" s="15" t="s">
        <v>16</v>
      </c>
      <c r="C185" s="14">
        <v>12.96</v>
      </c>
      <c r="D185" s="8" t="s">
        <v>279</v>
      </c>
    </row>
    <row r="186" spans="1:4" hidden="1" x14ac:dyDescent="0.15">
      <c r="A186" s="5">
        <v>41702</v>
      </c>
      <c r="B186" t="s">
        <v>45</v>
      </c>
      <c r="C186" s="14">
        <v>3</v>
      </c>
      <c r="D186" s="8" t="s">
        <v>209</v>
      </c>
    </row>
    <row r="187" spans="1:4" hidden="1" x14ac:dyDescent="0.15">
      <c r="A187" s="5">
        <v>41702</v>
      </c>
      <c r="B187" t="s">
        <v>153</v>
      </c>
      <c r="C187" s="14">
        <v>3</v>
      </c>
      <c r="D187" s="8" t="s">
        <v>210</v>
      </c>
    </row>
    <row r="188" spans="1:4" hidden="1" x14ac:dyDescent="0.15">
      <c r="A188" s="5">
        <v>41702</v>
      </c>
      <c r="B188" t="s">
        <v>132</v>
      </c>
      <c r="C188" s="14">
        <v>145.91</v>
      </c>
      <c r="D188" s="8" t="s">
        <v>133</v>
      </c>
    </row>
    <row r="189" spans="1:4" hidden="1" x14ac:dyDescent="0.15">
      <c r="A189" s="5">
        <v>41702</v>
      </c>
      <c r="B189" t="s">
        <v>114</v>
      </c>
      <c r="C189" s="14">
        <v>77.31</v>
      </c>
    </row>
    <row r="190" spans="1:4" hidden="1" x14ac:dyDescent="0.15">
      <c r="A190" s="5">
        <v>41702</v>
      </c>
      <c r="B190" t="s">
        <v>21</v>
      </c>
      <c r="C190" s="14">
        <v>23.13</v>
      </c>
    </row>
    <row r="191" spans="1:4" hidden="1" x14ac:dyDescent="0.15">
      <c r="A191" s="5">
        <v>41702</v>
      </c>
      <c r="B191" t="s">
        <v>22</v>
      </c>
      <c r="C191" s="14">
        <v>18.91</v>
      </c>
    </row>
    <row r="192" spans="1:4" hidden="1" x14ac:dyDescent="0.15">
      <c r="A192" s="5">
        <v>41702</v>
      </c>
      <c r="B192" t="s">
        <v>22</v>
      </c>
      <c r="C192" s="14">
        <v>22.86</v>
      </c>
      <c r="D192" s="8" t="s">
        <v>211</v>
      </c>
    </row>
    <row r="193" spans="1:5" hidden="1" x14ac:dyDescent="0.15">
      <c r="A193" s="5">
        <v>41702</v>
      </c>
      <c r="B193" t="s">
        <v>25</v>
      </c>
      <c r="C193" s="14">
        <v>79.19</v>
      </c>
    </row>
    <row r="194" spans="1:5" hidden="1" x14ac:dyDescent="0.15">
      <c r="A194" s="5">
        <v>41702</v>
      </c>
      <c r="B194" t="s">
        <v>64</v>
      </c>
      <c r="C194" s="14">
        <v>6.99</v>
      </c>
    </row>
    <row r="195" spans="1:5" hidden="1" x14ac:dyDescent="0.15">
      <c r="A195" s="5">
        <v>41702</v>
      </c>
      <c r="B195" t="s">
        <v>64</v>
      </c>
      <c r="C195" s="14">
        <v>26.99</v>
      </c>
      <c r="D195" s="16" t="s">
        <v>269</v>
      </c>
    </row>
    <row r="196" spans="1:5" hidden="1" x14ac:dyDescent="0.15">
      <c r="A196" s="5">
        <v>41702</v>
      </c>
      <c r="B196" t="s">
        <v>17</v>
      </c>
      <c r="C196" s="14">
        <v>25</v>
      </c>
      <c r="D196" s="8" t="s">
        <v>208</v>
      </c>
    </row>
    <row r="197" spans="1:5" hidden="1" x14ac:dyDescent="0.15">
      <c r="A197" s="5">
        <v>41702</v>
      </c>
      <c r="B197" t="s">
        <v>157</v>
      </c>
      <c r="C197" s="14">
        <v>71.86</v>
      </c>
      <c r="D197" s="16" t="s">
        <v>156</v>
      </c>
    </row>
    <row r="198" spans="1:5" hidden="1" x14ac:dyDescent="0.15">
      <c r="A198" s="5">
        <v>41702</v>
      </c>
      <c r="B198" t="s">
        <v>186</v>
      </c>
      <c r="C198" s="14">
        <v>26.13</v>
      </c>
      <c r="D198" s="8" t="s">
        <v>212</v>
      </c>
    </row>
    <row r="199" spans="1:5" hidden="1" x14ac:dyDescent="0.15">
      <c r="A199" s="5">
        <v>41702</v>
      </c>
      <c r="B199" t="s">
        <v>26</v>
      </c>
      <c r="C199" s="14">
        <v>7.56</v>
      </c>
      <c r="D199" s="8" t="s">
        <v>175</v>
      </c>
    </row>
    <row r="200" spans="1:5" hidden="1" x14ac:dyDescent="0.15">
      <c r="A200" s="5">
        <v>41702</v>
      </c>
      <c r="B200" t="s">
        <v>26</v>
      </c>
      <c r="C200" s="14">
        <v>11.16</v>
      </c>
      <c r="D200" s="8" t="s">
        <v>175</v>
      </c>
    </row>
    <row r="201" spans="1:5" hidden="1" x14ac:dyDescent="0.15">
      <c r="A201" s="5">
        <v>41703</v>
      </c>
      <c r="B201" t="s">
        <v>113</v>
      </c>
      <c r="C201" s="14">
        <v>102.5</v>
      </c>
    </row>
    <row r="202" spans="1:5" hidden="1" x14ac:dyDescent="0.15">
      <c r="A202" s="5">
        <v>41703</v>
      </c>
      <c r="B202" t="s">
        <v>113</v>
      </c>
      <c r="C202" s="14">
        <v>89</v>
      </c>
    </row>
    <row r="203" spans="1:5" x14ac:dyDescent="0.15">
      <c r="A203" s="5">
        <v>41703</v>
      </c>
      <c r="B203" t="s">
        <v>1</v>
      </c>
      <c r="C203" s="14">
        <v>1000</v>
      </c>
      <c r="D203" s="16" t="s">
        <v>324</v>
      </c>
    </row>
    <row r="204" spans="1:5" x14ac:dyDescent="0.15">
      <c r="A204" s="5">
        <v>41703</v>
      </c>
      <c r="B204" t="s">
        <v>1</v>
      </c>
      <c r="C204" s="14">
        <v>7</v>
      </c>
      <c r="D204" s="8" t="s">
        <v>97</v>
      </c>
    </row>
    <row r="205" spans="1:5" hidden="1" x14ac:dyDescent="0.15">
      <c r="A205" s="5">
        <v>41704</v>
      </c>
      <c r="B205" t="s">
        <v>19</v>
      </c>
      <c r="C205" s="14">
        <v>4.99</v>
      </c>
      <c r="D205" s="8" t="s">
        <v>208</v>
      </c>
    </row>
    <row r="206" spans="1:5" hidden="1" x14ac:dyDescent="0.15">
      <c r="A206" s="5">
        <v>41705</v>
      </c>
      <c r="B206" t="s">
        <v>132</v>
      </c>
      <c r="C206" s="14">
        <v>100</v>
      </c>
    </row>
    <row r="207" spans="1:5" hidden="1" x14ac:dyDescent="0.15">
      <c r="A207" s="5">
        <v>41705</v>
      </c>
      <c r="B207" t="s">
        <v>21</v>
      </c>
      <c r="C207" s="14">
        <v>3.26</v>
      </c>
      <c r="E207" s="14"/>
    </row>
    <row r="208" spans="1:5" hidden="1" x14ac:dyDescent="0.15">
      <c r="A208" s="5">
        <v>41706</v>
      </c>
      <c r="B208" t="s">
        <v>18</v>
      </c>
      <c r="C208" s="14">
        <v>5</v>
      </c>
    </row>
    <row r="209" spans="1:4" hidden="1" x14ac:dyDescent="0.15">
      <c r="A209" s="5">
        <v>41706</v>
      </c>
      <c r="B209" t="s">
        <v>23</v>
      </c>
      <c r="C209" s="14">
        <v>24</v>
      </c>
    </row>
    <row r="210" spans="1:4" hidden="1" x14ac:dyDescent="0.15">
      <c r="A210" s="5">
        <v>41706</v>
      </c>
      <c r="B210" t="s">
        <v>19</v>
      </c>
      <c r="C210" s="14">
        <v>4.99</v>
      </c>
    </row>
    <row r="211" spans="1:4" hidden="1" x14ac:dyDescent="0.15">
      <c r="A211" s="5">
        <v>41706</v>
      </c>
      <c r="B211" t="s">
        <v>21</v>
      </c>
      <c r="C211" s="14">
        <v>10.97</v>
      </c>
    </row>
    <row r="212" spans="1:4" hidden="1" x14ac:dyDescent="0.15">
      <c r="A212" s="5">
        <v>41706</v>
      </c>
      <c r="B212" t="s">
        <v>22</v>
      </c>
      <c r="C212" s="14">
        <v>18.12</v>
      </c>
    </row>
    <row r="213" spans="1:4" hidden="1" x14ac:dyDescent="0.15">
      <c r="A213" s="5">
        <v>41706</v>
      </c>
      <c r="B213" t="s">
        <v>22</v>
      </c>
      <c r="C213" s="14">
        <v>10.97</v>
      </c>
    </row>
    <row r="214" spans="1:4" hidden="1" x14ac:dyDescent="0.15">
      <c r="A214" s="5">
        <v>41706</v>
      </c>
      <c r="B214" t="s">
        <v>24</v>
      </c>
      <c r="C214" s="14">
        <v>26.38</v>
      </c>
      <c r="D214" s="16" t="s">
        <v>273</v>
      </c>
    </row>
    <row r="215" spans="1:4" hidden="1" x14ac:dyDescent="0.15">
      <c r="A215" s="5">
        <v>41706</v>
      </c>
      <c r="B215" s="15" t="s">
        <v>186</v>
      </c>
      <c r="C215" s="14">
        <v>110</v>
      </c>
      <c r="D215" s="16" t="s">
        <v>155</v>
      </c>
    </row>
    <row r="216" spans="1:4" hidden="1" x14ac:dyDescent="0.15">
      <c r="A216" s="5">
        <v>41706</v>
      </c>
      <c r="B216" t="s">
        <v>16</v>
      </c>
      <c r="C216" s="14">
        <v>6.95</v>
      </c>
    </row>
    <row r="217" spans="1:4" hidden="1" x14ac:dyDescent="0.15">
      <c r="A217" s="5">
        <v>41706</v>
      </c>
      <c r="B217" s="15" t="s">
        <v>288</v>
      </c>
      <c r="C217" s="14">
        <v>2252</v>
      </c>
      <c r="D217" s="16" t="s">
        <v>313</v>
      </c>
    </row>
    <row r="218" spans="1:4" hidden="1" x14ac:dyDescent="0.15">
      <c r="A218" s="5">
        <v>41706</v>
      </c>
      <c r="B218" s="15" t="s">
        <v>288</v>
      </c>
      <c r="C218" s="14">
        <v>2252</v>
      </c>
      <c r="D218" s="8" t="s">
        <v>275</v>
      </c>
    </row>
    <row r="219" spans="1:4" hidden="1" x14ac:dyDescent="0.15">
      <c r="A219" s="5">
        <v>41707</v>
      </c>
      <c r="B219" t="s">
        <v>22</v>
      </c>
      <c r="C219" s="14">
        <v>6</v>
      </c>
    </row>
    <row r="220" spans="1:4" hidden="1" x14ac:dyDescent="0.15">
      <c r="A220" s="5">
        <v>41707</v>
      </c>
      <c r="B220" t="s">
        <v>22</v>
      </c>
      <c r="C220" s="14">
        <v>4.58</v>
      </c>
    </row>
    <row r="221" spans="1:4" hidden="1" x14ac:dyDescent="0.15">
      <c r="A221" s="5">
        <v>41707</v>
      </c>
      <c r="B221" t="s">
        <v>64</v>
      </c>
      <c r="C221" s="14">
        <v>28.29</v>
      </c>
    </row>
    <row r="222" spans="1:4" hidden="1" x14ac:dyDescent="0.15">
      <c r="A222" s="5">
        <v>41708</v>
      </c>
      <c r="B222" t="s">
        <v>64</v>
      </c>
      <c r="C222" s="14">
        <v>85.01</v>
      </c>
      <c r="D222" s="16" t="s">
        <v>264</v>
      </c>
    </row>
    <row r="223" spans="1:4" hidden="1" x14ac:dyDescent="0.15">
      <c r="A223" s="5">
        <v>41708</v>
      </c>
      <c r="B223" t="s">
        <v>63</v>
      </c>
      <c r="C223" s="14">
        <v>15.98</v>
      </c>
      <c r="D223" s="8" t="s">
        <v>65</v>
      </c>
    </row>
    <row r="224" spans="1:4" hidden="1" x14ac:dyDescent="0.15">
      <c r="A224" s="5">
        <v>41708</v>
      </c>
      <c r="B224" t="s">
        <v>59</v>
      </c>
      <c r="C224" s="14">
        <v>111.12</v>
      </c>
      <c r="D224" s="8" t="s">
        <v>60</v>
      </c>
    </row>
    <row r="225" spans="1:4" hidden="1" x14ac:dyDescent="0.15">
      <c r="A225" s="5">
        <v>41708</v>
      </c>
      <c r="B225" t="s">
        <v>78</v>
      </c>
      <c r="C225" s="14">
        <v>17.98</v>
      </c>
      <c r="D225" s="16" t="s">
        <v>263</v>
      </c>
    </row>
    <row r="226" spans="1:4" hidden="1" x14ac:dyDescent="0.15">
      <c r="A226" s="5">
        <v>41708</v>
      </c>
      <c r="B226" t="s">
        <v>159</v>
      </c>
      <c r="C226" s="14">
        <v>4.99</v>
      </c>
      <c r="D226" s="16" t="s">
        <v>263</v>
      </c>
    </row>
    <row r="227" spans="1:4" hidden="1" x14ac:dyDescent="0.15">
      <c r="A227" s="5">
        <v>41708</v>
      </c>
      <c r="B227" s="15" t="s">
        <v>16</v>
      </c>
      <c r="C227" s="14">
        <v>6.21</v>
      </c>
      <c r="D227" s="8" t="s">
        <v>287</v>
      </c>
    </row>
    <row r="228" spans="1:4" hidden="1" x14ac:dyDescent="0.15">
      <c r="A228" s="5">
        <v>41708</v>
      </c>
      <c r="B228" s="15" t="s">
        <v>16</v>
      </c>
      <c r="C228" s="14">
        <v>6.01</v>
      </c>
      <c r="D228" s="8" t="s">
        <v>287</v>
      </c>
    </row>
    <row r="229" spans="1:4" hidden="1" x14ac:dyDescent="0.15">
      <c r="A229" s="5">
        <v>41709</v>
      </c>
      <c r="B229" s="15" t="s">
        <v>18</v>
      </c>
      <c r="C229" s="14">
        <v>5</v>
      </c>
      <c r="D229" s="8" t="s">
        <v>170</v>
      </c>
    </row>
    <row r="230" spans="1:4" hidden="1" x14ac:dyDescent="0.15">
      <c r="A230" s="5">
        <v>41709</v>
      </c>
      <c r="B230" s="15" t="s">
        <v>18</v>
      </c>
      <c r="C230" s="14">
        <v>24</v>
      </c>
      <c r="D230" s="8" t="s">
        <v>170</v>
      </c>
    </row>
    <row r="231" spans="1:4" x14ac:dyDescent="0.15">
      <c r="A231" s="5">
        <v>41709</v>
      </c>
      <c r="B231" t="s">
        <v>1</v>
      </c>
      <c r="C231" s="14">
        <v>15</v>
      </c>
      <c r="D231" s="8" t="s">
        <v>97</v>
      </c>
    </row>
    <row r="232" spans="1:4" hidden="1" x14ac:dyDescent="0.15">
      <c r="A232" s="5">
        <v>41709</v>
      </c>
      <c r="B232" t="s">
        <v>21</v>
      </c>
      <c r="C232" s="14">
        <v>18.12</v>
      </c>
      <c r="D232" s="8" t="s">
        <v>170</v>
      </c>
    </row>
    <row r="233" spans="1:4" hidden="1" x14ac:dyDescent="0.15">
      <c r="A233" s="5">
        <v>41709</v>
      </c>
      <c r="B233" t="s">
        <v>17</v>
      </c>
      <c r="C233" s="14">
        <v>30.5</v>
      </c>
      <c r="D233" s="16" t="s">
        <v>348</v>
      </c>
    </row>
    <row r="234" spans="1:4" hidden="1" x14ac:dyDescent="0.15">
      <c r="A234" s="5">
        <v>41709</v>
      </c>
      <c r="B234" t="s">
        <v>16</v>
      </c>
      <c r="C234" s="14">
        <v>10.56</v>
      </c>
      <c r="D234" s="16" t="s">
        <v>348</v>
      </c>
    </row>
    <row r="235" spans="1:4" x14ac:dyDescent="0.15">
      <c r="A235" s="5">
        <v>41710</v>
      </c>
      <c r="B235" t="s">
        <v>1</v>
      </c>
      <c r="C235" s="14">
        <v>20</v>
      </c>
      <c r="D235" s="8" t="s">
        <v>97</v>
      </c>
    </row>
    <row r="236" spans="1:4" hidden="1" x14ac:dyDescent="0.15">
      <c r="A236" s="5">
        <v>41711</v>
      </c>
      <c r="B236" t="s">
        <v>77</v>
      </c>
      <c r="C236" s="14">
        <v>169.46</v>
      </c>
      <c r="D236" s="8" t="s">
        <v>213</v>
      </c>
    </row>
    <row r="237" spans="1:4" x14ac:dyDescent="0.15">
      <c r="A237" s="5">
        <v>41711</v>
      </c>
      <c r="B237" t="s">
        <v>1</v>
      </c>
      <c r="C237" s="14">
        <v>20</v>
      </c>
      <c r="D237" s="8" t="s">
        <v>97</v>
      </c>
    </row>
    <row r="238" spans="1:4" hidden="1" x14ac:dyDescent="0.15">
      <c r="A238" s="5">
        <v>41713</v>
      </c>
      <c r="B238" s="15" t="s">
        <v>132</v>
      </c>
      <c r="C238" s="14">
        <v>92.7</v>
      </c>
      <c r="D238" s="16" t="s">
        <v>163</v>
      </c>
    </row>
    <row r="239" spans="1:4" hidden="1" x14ac:dyDescent="0.15">
      <c r="A239" s="5">
        <v>41714</v>
      </c>
      <c r="B239" s="15" t="s">
        <v>159</v>
      </c>
      <c r="C239" s="14">
        <v>22.76</v>
      </c>
      <c r="D239" s="16" t="s">
        <v>260</v>
      </c>
    </row>
    <row r="240" spans="1:4" hidden="1" x14ac:dyDescent="0.15">
      <c r="A240" s="5">
        <v>41714</v>
      </c>
      <c r="B240" s="15" t="s">
        <v>21</v>
      </c>
      <c r="C240" s="14">
        <v>3.95</v>
      </c>
      <c r="D240" s="16" t="s">
        <v>348</v>
      </c>
    </row>
    <row r="241" spans="1:4" hidden="1" x14ac:dyDescent="0.15">
      <c r="A241" s="5">
        <v>41714</v>
      </c>
      <c r="B241" t="s">
        <v>25</v>
      </c>
      <c r="C241" s="14">
        <v>110.56</v>
      </c>
      <c r="D241" s="16" t="s">
        <v>260</v>
      </c>
    </row>
    <row r="242" spans="1:4" hidden="1" x14ac:dyDescent="0.15">
      <c r="A242" s="17">
        <v>41715</v>
      </c>
      <c r="B242" t="s">
        <v>166</v>
      </c>
      <c r="C242" s="14">
        <v>3</v>
      </c>
      <c r="D242" s="16" t="s">
        <v>167</v>
      </c>
    </row>
    <row r="243" spans="1:4" hidden="1" x14ac:dyDescent="0.15">
      <c r="A243" s="5">
        <v>41715</v>
      </c>
      <c r="B243" s="15" t="s">
        <v>166</v>
      </c>
      <c r="C243" s="14">
        <v>2</v>
      </c>
      <c r="D243" s="16" t="s">
        <v>168</v>
      </c>
    </row>
    <row r="244" spans="1:4" hidden="1" x14ac:dyDescent="0.15">
      <c r="A244" s="5">
        <v>41715</v>
      </c>
      <c r="B244" t="s">
        <v>166</v>
      </c>
      <c r="C244" s="14">
        <v>2</v>
      </c>
      <c r="D244" s="8" t="s">
        <v>168</v>
      </c>
    </row>
    <row r="245" spans="1:4" hidden="1" x14ac:dyDescent="0.15">
      <c r="A245" s="5">
        <v>41715</v>
      </c>
      <c r="B245" s="15" t="s">
        <v>21</v>
      </c>
      <c r="C245" s="14">
        <v>10.78</v>
      </c>
      <c r="D245" s="16" t="s">
        <v>165</v>
      </c>
    </row>
    <row r="246" spans="1:4" hidden="1" x14ac:dyDescent="0.15">
      <c r="A246" s="5">
        <v>41715</v>
      </c>
      <c r="B246" s="15" t="s">
        <v>21</v>
      </c>
      <c r="C246" s="14">
        <v>3.26</v>
      </c>
      <c r="D246" s="8" t="s">
        <v>165</v>
      </c>
    </row>
    <row r="247" spans="1:4" hidden="1" x14ac:dyDescent="0.15">
      <c r="A247" s="5">
        <v>41715</v>
      </c>
      <c r="B247" s="15" t="s">
        <v>157</v>
      </c>
      <c r="C247" s="14">
        <v>39.200000000000003</v>
      </c>
      <c r="D247" s="16" t="s">
        <v>169</v>
      </c>
    </row>
    <row r="248" spans="1:4" hidden="1" x14ac:dyDescent="0.15">
      <c r="A248" s="5">
        <v>41715</v>
      </c>
      <c r="B248" s="15" t="s">
        <v>84</v>
      </c>
      <c r="C248" s="14">
        <v>3</v>
      </c>
      <c r="D248" s="16" t="s">
        <v>214</v>
      </c>
    </row>
    <row r="249" spans="1:4" hidden="1" x14ac:dyDescent="0.15">
      <c r="A249" s="5">
        <v>41715</v>
      </c>
      <c r="B249" s="15" t="s">
        <v>16</v>
      </c>
      <c r="C249" s="14">
        <v>9.36</v>
      </c>
      <c r="D249" s="16" t="s">
        <v>215</v>
      </c>
    </row>
    <row r="250" spans="1:4" hidden="1" x14ac:dyDescent="0.15">
      <c r="A250" s="5">
        <v>41715</v>
      </c>
      <c r="B250" s="15" t="s">
        <v>310</v>
      </c>
      <c r="C250" s="14">
        <v>100</v>
      </c>
      <c r="D250" s="16" t="s">
        <v>311</v>
      </c>
    </row>
    <row r="251" spans="1:4" hidden="1" x14ac:dyDescent="0.15">
      <c r="A251" s="5">
        <v>41716</v>
      </c>
      <c r="B251" t="s">
        <v>129</v>
      </c>
      <c r="C251" s="14">
        <v>10</v>
      </c>
      <c r="D251" s="16" t="s">
        <v>348</v>
      </c>
    </row>
    <row r="252" spans="1:4" x14ac:dyDescent="0.15">
      <c r="A252" s="5">
        <v>41717</v>
      </c>
      <c r="B252" t="s">
        <v>161</v>
      </c>
      <c r="C252" s="14">
        <v>15</v>
      </c>
      <c r="D252" s="8" t="s">
        <v>162</v>
      </c>
    </row>
    <row r="253" spans="1:4" hidden="1" x14ac:dyDescent="0.15">
      <c r="A253" s="5">
        <v>41717</v>
      </c>
      <c r="B253" s="15" t="s">
        <v>21</v>
      </c>
      <c r="C253" s="14">
        <v>2.71</v>
      </c>
      <c r="D253" s="8" t="s">
        <v>165</v>
      </c>
    </row>
    <row r="254" spans="1:4" hidden="1" x14ac:dyDescent="0.15">
      <c r="A254" s="5">
        <v>41717</v>
      </c>
      <c r="B254" s="15" t="s">
        <v>129</v>
      </c>
      <c r="C254" s="14">
        <v>24.98</v>
      </c>
      <c r="D254" s="16" t="s">
        <v>216</v>
      </c>
    </row>
    <row r="255" spans="1:4" hidden="1" x14ac:dyDescent="0.15">
      <c r="A255" s="5">
        <v>41719</v>
      </c>
      <c r="B255" s="15" t="s">
        <v>87</v>
      </c>
      <c r="C255" s="14">
        <v>132.53</v>
      </c>
      <c r="D255" s="8" t="s">
        <v>217</v>
      </c>
    </row>
    <row r="256" spans="1:4" hidden="1" x14ac:dyDescent="0.15">
      <c r="A256" s="5">
        <v>41719</v>
      </c>
      <c r="B256" t="s">
        <v>78</v>
      </c>
      <c r="C256" s="14">
        <v>62.99</v>
      </c>
      <c r="D256" s="8" t="s">
        <v>218</v>
      </c>
    </row>
    <row r="257" spans="1:4" hidden="1" x14ac:dyDescent="0.15">
      <c r="A257" s="5">
        <v>41719</v>
      </c>
      <c r="B257" t="s">
        <v>88</v>
      </c>
      <c r="C257" s="14">
        <v>98.33</v>
      </c>
      <c r="D257" s="8" t="s">
        <v>219</v>
      </c>
    </row>
    <row r="258" spans="1:4" hidden="1" x14ac:dyDescent="0.15">
      <c r="A258" s="5">
        <v>41719</v>
      </c>
      <c r="B258" t="s">
        <v>89</v>
      </c>
      <c r="C258" s="14">
        <v>238.15</v>
      </c>
      <c r="D258" s="8" t="s">
        <v>220</v>
      </c>
    </row>
    <row r="259" spans="1:4" hidden="1" x14ac:dyDescent="0.15">
      <c r="A259" s="5">
        <v>41719</v>
      </c>
      <c r="B259" s="15" t="s">
        <v>21</v>
      </c>
      <c r="C259" s="14">
        <v>39.29</v>
      </c>
      <c r="D259" s="8" t="s">
        <v>275</v>
      </c>
    </row>
    <row r="260" spans="1:4" hidden="1" x14ac:dyDescent="0.15">
      <c r="A260" s="5">
        <v>41720</v>
      </c>
      <c r="B260" t="s">
        <v>132</v>
      </c>
      <c r="C260" s="14">
        <v>72.599999999999994</v>
      </c>
      <c r="D260" s="8" t="s">
        <v>221</v>
      </c>
    </row>
    <row r="261" spans="1:4" hidden="1" x14ac:dyDescent="0.15">
      <c r="A261" s="5">
        <v>41720</v>
      </c>
      <c r="B261" t="s">
        <v>132</v>
      </c>
      <c r="C261" s="14">
        <v>20</v>
      </c>
      <c r="D261" s="8" t="s">
        <v>222</v>
      </c>
    </row>
    <row r="262" spans="1:4" hidden="1" x14ac:dyDescent="0.15">
      <c r="A262" s="5">
        <v>41720</v>
      </c>
      <c r="B262" t="s">
        <v>157</v>
      </c>
      <c r="C262" s="2">
        <v>5.93</v>
      </c>
      <c r="D262" s="8" t="s">
        <v>223</v>
      </c>
    </row>
    <row r="263" spans="1:4" hidden="1" x14ac:dyDescent="0.15">
      <c r="A263" s="5">
        <v>41720</v>
      </c>
      <c r="B263" t="s">
        <v>25</v>
      </c>
      <c r="C263" s="2">
        <v>5.99</v>
      </c>
      <c r="D263" s="8" t="s">
        <v>224</v>
      </c>
    </row>
    <row r="264" spans="1:4" hidden="1" x14ac:dyDescent="0.15">
      <c r="A264" s="5">
        <v>41720</v>
      </c>
      <c r="B264" t="s">
        <v>25</v>
      </c>
      <c r="C264" s="2">
        <v>100</v>
      </c>
      <c r="D264" s="8" t="s">
        <v>225</v>
      </c>
    </row>
    <row r="265" spans="1:4" hidden="1" x14ac:dyDescent="0.15">
      <c r="A265" s="5">
        <v>41720</v>
      </c>
      <c r="B265" t="s">
        <v>17</v>
      </c>
      <c r="C265" s="2">
        <v>24</v>
      </c>
      <c r="D265" s="8" t="s">
        <v>226</v>
      </c>
    </row>
    <row r="266" spans="1:4" hidden="1" x14ac:dyDescent="0.15">
      <c r="A266" s="5">
        <v>41720</v>
      </c>
      <c r="B266" t="s">
        <v>157</v>
      </c>
      <c r="C266" s="2">
        <v>63.7</v>
      </c>
      <c r="D266" s="8" t="s">
        <v>227</v>
      </c>
    </row>
    <row r="267" spans="1:4" hidden="1" x14ac:dyDescent="0.15">
      <c r="A267" s="5">
        <v>41720</v>
      </c>
      <c r="B267" t="s">
        <v>157</v>
      </c>
      <c r="C267" s="2">
        <v>15</v>
      </c>
      <c r="D267" s="8" t="s">
        <v>228</v>
      </c>
    </row>
    <row r="268" spans="1:4" hidden="1" x14ac:dyDescent="0.15">
      <c r="A268" s="5">
        <v>41720</v>
      </c>
      <c r="B268" t="s">
        <v>84</v>
      </c>
      <c r="C268" s="14">
        <v>3</v>
      </c>
      <c r="D268" s="8" t="s">
        <v>229</v>
      </c>
    </row>
    <row r="269" spans="1:4" hidden="1" x14ac:dyDescent="0.15">
      <c r="A269" s="5">
        <v>41720</v>
      </c>
      <c r="B269" t="s">
        <v>230</v>
      </c>
      <c r="C269" s="2">
        <v>9</v>
      </c>
      <c r="D269" s="8" t="s">
        <v>231</v>
      </c>
    </row>
    <row r="270" spans="1:4" hidden="1" x14ac:dyDescent="0.15">
      <c r="A270" s="5">
        <v>41720</v>
      </c>
      <c r="B270" t="s">
        <v>230</v>
      </c>
      <c r="C270" s="2">
        <v>15.35</v>
      </c>
      <c r="D270" s="8" t="s">
        <v>232</v>
      </c>
    </row>
    <row r="271" spans="1:4" hidden="1" x14ac:dyDescent="0.15">
      <c r="A271" s="5">
        <v>41720</v>
      </c>
      <c r="B271" t="s">
        <v>132</v>
      </c>
      <c r="C271" s="2">
        <v>60.6</v>
      </c>
      <c r="D271" s="8" t="s">
        <v>233</v>
      </c>
    </row>
    <row r="272" spans="1:4" hidden="1" x14ac:dyDescent="0.15">
      <c r="A272" s="5">
        <v>41720</v>
      </c>
      <c r="B272" t="s">
        <v>132</v>
      </c>
      <c r="C272" s="2">
        <v>12</v>
      </c>
      <c r="D272" s="8" t="s">
        <v>234</v>
      </c>
    </row>
    <row r="273" spans="1:5" hidden="1" x14ac:dyDescent="0.15">
      <c r="A273" s="5">
        <v>41721</v>
      </c>
      <c r="B273" t="s">
        <v>132</v>
      </c>
      <c r="C273" s="2">
        <v>129.56</v>
      </c>
      <c r="D273" s="8" t="s">
        <v>235</v>
      </c>
      <c r="E273" s="14"/>
    </row>
    <row r="274" spans="1:5" hidden="1" x14ac:dyDescent="0.15">
      <c r="A274" s="5">
        <v>41721</v>
      </c>
      <c r="B274" t="s">
        <v>132</v>
      </c>
      <c r="C274" s="2">
        <v>18.98</v>
      </c>
      <c r="D274" s="8" t="s">
        <v>236</v>
      </c>
    </row>
    <row r="275" spans="1:5" hidden="1" x14ac:dyDescent="0.15">
      <c r="A275" s="5">
        <v>41721</v>
      </c>
      <c r="B275" t="s">
        <v>21</v>
      </c>
      <c r="C275" s="2">
        <v>16.07</v>
      </c>
      <c r="D275" s="8" t="s">
        <v>237</v>
      </c>
    </row>
    <row r="276" spans="1:5" hidden="1" x14ac:dyDescent="0.15">
      <c r="A276" s="5">
        <v>41721</v>
      </c>
      <c r="B276" t="s">
        <v>25</v>
      </c>
      <c r="C276" s="2">
        <v>72.959999999999994</v>
      </c>
      <c r="D276" s="8" t="s">
        <v>238</v>
      </c>
    </row>
    <row r="277" spans="1:5" hidden="1" x14ac:dyDescent="0.15">
      <c r="A277" s="5">
        <v>41721</v>
      </c>
      <c r="B277" t="s">
        <v>78</v>
      </c>
      <c r="C277" s="14">
        <v>28.29</v>
      </c>
      <c r="D277" s="8" t="s">
        <v>239</v>
      </c>
    </row>
    <row r="278" spans="1:5" hidden="1" x14ac:dyDescent="0.15">
      <c r="A278" s="5">
        <v>41721</v>
      </c>
      <c r="B278" t="s">
        <v>126</v>
      </c>
      <c r="C278" s="2">
        <v>69.36</v>
      </c>
      <c r="D278" s="8" t="s">
        <v>240</v>
      </c>
    </row>
    <row r="279" spans="1:5" hidden="1" x14ac:dyDescent="0.15">
      <c r="A279" s="5">
        <v>41721</v>
      </c>
      <c r="B279" t="s">
        <v>129</v>
      </c>
      <c r="C279" s="2">
        <v>16</v>
      </c>
      <c r="D279" s="8" t="s">
        <v>241</v>
      </c>
    </row>
    <row r="280" spans="1:5" hidden="1" x14ac:dyDescent="0.15">
      <c r="A280" s="5">
        <v>41721</v>
      </c>
      <c r="B280" t="s">
        <v>84</v>
      </c>
      <c r="C280" s="14">
        <v>3</v>
      </c>
      <c r="D280" s="8" t="s">
        <v>229</v>
      </c>
    </row>
    <row r="281" spans="1:5" hidden="1" x14ac:dyDescent="0.15">
      <c r="A281" s="5">
        <v>41721</v>
      </c>
      <c r="B281" s="15" t="s">
        <v>172</v>
      </c>
      <c r="C281" s="2">
        <v>21.65</v>
      </c>
      <c r="D281" s="16" t="s">
        <v>258</v>
      </c>
    </row>
    <row r="282" spans="1:5" hidden="1" x14ac:dyDescent="0.15">
      <c r="A282" s="5">
        <v>41721</v>
      </c>
      <c r="B282" t="s">
        <v>132</v>
      </c>
      <c r="C282" s="2">
        <v>18.88</v>
      </c>
      <c r="D282" s="8" t="s">
        <v>243</v>
      </c>
    </row>
    <row r="283" spans="1:5" hidden="1" x14ac:dyDescent="0.15">
      <c r="A283" s="5">
        <v>41721</v>
      </c>
      <c r="B283" t="s">
        <v>17</v>
      </c>
      <c r="C283" s="2">
        <v>24</v>
      </c>
      <c r="D283" s="8" t="s">
        <v>244</v>
      </c>
    </row>
    <row r="284" spans="1:5" hidden="1" x14ac:dyDescent="0.15">
      <c r="A284" s="5">
        <v>41721</v>
      </c>
      <c r="B284" t="s">
        <v>78</v>
      </c>
      <c r="C284" s="2">
        <v>16.329999999999998</v>
      </c>
      <c r="D284" s="8" t="s">
        <v>245</v>
      </c>
    </row>
    <row r="285" spans="1:5" hidden="1" x14ac:dyDescent="0.15">
      <c r="A285" s="5">
        <v>41723</v>
      </c>
      <c r="B285" s="15" t="s">
        <v>157</v>
      </c>
      <c r="C285" s="2">
        <v>60.26</v>
      </c>
      <c r="D285" s="16" t="s">
        <v>275</v>
      </c>
    </row>
    <row r="286" spans="1:5" hidden="1" x14ac:dyDescent="0.15">
      <c r="A286" s="5">
        <v>41723</v>
      </c>
      <c r="B286" t="s">
        <v>172</v>
      </c>
      <c r="C286" s="2">
        <v>21.65</v>
      </c>
      <c r="D286" s="16" t="s">
        <v>275</v>
      </c>
    </row>
    <row r="287" spans="1:5" hidden="1" x14ac:dyDescent="0.15">
      <c r="A287" s="5">
        <v>41723</v>
      </c>
      <c r="B287" s="15" t="s">
        <v>175</v>
      </c>
      <c r="C287" s="2">
        <v>9.35</v>
      </c>
      <c r="D287" s="16" t="s">
        <v>275</v>
      </c>
    </row>
    <row r="288" spans="1:5" hidden="1" x14ac:dyDescent="0.15">
      <c r="A288" s="5">
        <v>41724</v>
      </c>
      <c r="B288" s="15"/>
      <c r="C288" s="23">
        <v>13.32</v>
      </c>
      <c r="D288" s="8" t="s">
        <v>242</v>
      </c>
    </row>
    <row r="289" spans="1:4" hidden="1" x14ac:dyDescent="0.15">
      <c r="A289" s="5">
        <v>41724</v>
      </c>
      <c r="B289" t="s">
        <v>159</v>
      </c>
      <c r="C289" s="14">
        <v>14.99</v>
      </c>
      <c r="D289" s="8" t="s">
        <v>246</v>
      </c>
    </row>
    <row r="290" spans="1:4" hidden="1" x14ac:dyDescent="0.15">
      <c r="A290" s="5">
        <v>41724</v>
      </c>
      <c r="C290" s="14">
        <v>1.99</v>
      </c>
      <c r="D290" s="8" t="s">
        <v>247</v>
      </c>
    </row>
    <row r="291" spans="1:4" hidden="1" x14ac:dyDescent="0.15">
      <c r="A291" s="5">
        <v>41724</v>
      </c>
      <c r="B291" t="s">
        <v>25</v>
      </c>
      <c r="C291" s="2">
        <v>30.3</v>
      </c>
      <c r="D291" s="8" t="s">
        <v>248</v>
      </c>
    </row>
    <row r="292" spans="1:4" hidden="1" x14ac:dyDescent="0.15">
      <c r="A292" s="5">
        <v>41724</v>
      </c>
      <c r="B292" s="15" t="s">
        <v>153</v>
      </c>
      <c r="C292" s="2">
        <v>70</v>
      </c>
      <c r="D292" s="16" t="s">
        <v>369</v>
      </c>
    </row>
    <row r="293" spans="1:4" hidden="1" x14ac:dyDescent="0.15">
      <c r="A293" s="5">
        <v>41725</v>
      </c>
      <c r="B293" s="15" t="s">
        <v>153</v>
      </c>
      <c r="C293" s="2">
        <v>3</v>
      </c>
      <c r="D293" s="16" t="s">
        <v>297</v>
      </c>
    </row>
    <row r="294" spans="1:4" hidden="1" x14ac:dyDescent="0.15">
      <c r="A294" s="5">
        <v>41725</v>
      </c>
      <c r="B294" t="s">
        <v>298</v>
      </c>
      <c r="C294" s="2">
        <v>190.67</v>
      </c>
      <c r="D294" s="16" t="s">
        <v>275</v>
      </c>
    </row>
    <row r="295" spans="1:4" hidden="1" x14ac:dyDescent="0.15">
      <c r="A295" s="5">
        <v>41725</v>
      </c>
      <c r="B295" s="15" t="s">
        <v>25</v>
      </c>
      <c r="C295" s="2">
        <v>62.49</v>
      </c>
      <c r="D295" s="8" t="s">
        <v>275</v>
      </c>
    </row>
    <row r="296" spans="1:4" hidden="1" x14ac:dyDescent="0.15">
      <c r="A296" s="5">
        <v>41726</v>
      </c>
      <c r="B296" s="15" t="s">
        <v>295</v>
      </c>
      <c r="C296" s="2">
        <v>500</v>
      </c>
      <c r="D296" s="16" t="s">
        <v>287</v>
      </c>
    </row>
    <row r="297" spans="1:4" hidden="1" x14ac:dyDescent="0.15">
      <c r="A297" s="5">
        <v>41726</v>
      </c>
      <c r="B297" s="15" t="s">
        <v>153</v>
      </c>
      <c r="C297" s="2">
        <v>1.5</v>
      </c>
      <c r="D297" s="16" t="s">
        <v>297</v>
      </c>
    </row>
    <row r="298" spans="1:4" hidden="1" x14ac:dyDescent="0.15">
      <c r="A298" s="5">
        <v>41726</v>
      </c>
      <c r="B298" t="s">
        <v>320</v>
      </c>
      <c r="C298" s="2">
        <v>346.22</v>
      </c>
      <c r="D298" s="16" t="s">
        <v>330</v>
      </c>
    </row>
    <row r="299" spans="1:4" hidden="1" x14ac:dyDescent="0.15">
      <c r="A299" s="5">
        <v>41726</v>
      </c>
      <c r="B299" t="s">
        <v>84</v>
      </c>
      <c r="C299" s="2">
        <v>3</v>
      </c>
      <c r="D299" s="16" t="s">
        <v>331</v>
      </c>
    </row>
    <row r="300" spans="1:4" hidden="1" x14ac:dyDescent="0.15">
      <c r="A300" s="5">
        <v>41727</v>
      </c>
      <c r="B300" s="15" t="s">
        <v>175</v>
      </c>
      <c r="C300" s="2">
        <v>39.14</v>
      </c>
      <c r="D300" s="16" t="s">
        <v>285</v>
      </c>
    </row>
    <row r="301" spans="1:4" hidden="1" x14ac:dyDescent="0.15">
      <c r="A301" s="5">
        <v>41727</v>
      </c>
      <c r="B301" s="15" t="s">
        <v>21</v>
      </c>
      <c r="C301" s="2">
        <v>8.84</v>
      </c>
      <c r="D301" s="8" t="s">
        <v>208</v>
      </c>
    </row>
    <row r="302" spans="1:4" hidden="1" x14ac:dyDescent="0.15">
      <c r="A302" s="5">
        <v>41727</v>
      </c>
      <c r="B302" s="15" t="s">
        <v>286</v>
      </c>
      <c r="C302" s="2">
        <v>9.3000000000000007</v>
      </c>
      <c r="D302" s="8" t="s">
        <v>208</v>
      </c>
    </row>
    <row r="303" spans="1:4" hidden="1" x14ac:dyDescent="0.15">
      <c r="A303" s="5">
        <v>41727</v>
      </c>
      <c r="B303" t="s">
        <v>288</v>
      </c>
      <c r="C303" s="2">
        <v>108.53</v>
      </c>
      <c r="D303" s="16" t="s">
        <v>289</v>
      </c>
    </row>
    <row r="304" spans="1:4" hidden="1" x14ac:dyDescent="0.15">
      <c r="A304" s="5">
        <v>41727</v>
      </c>
      <c r="B304" s="15" t="s">
        <v>157</v>
      </c>
      <c r="C304" s="2">
        <v>14.35</v>
      </c>
      <c r="D304" s="16" t="s">
        <v>292</v>
      </c>
    </row>
    <row r="305" spans="1:4" hidden="1" x14ac:dyDescent="0.15">
      <c r="A305" s="5">
        <v>41729</v>
      </c>
      <c r="B305" s="15" t="s">
        <v>281</v>
      </c>
      <c r="C305" s="2">
        <v>1000</v>
      </c>
      <c r="D305" s="8" t="s">
        <v>279</v>
      </c>
    </row>
    <row r="306" spans="1:4" hidden="1" x14ac:dyDescent="0.15">
      <c r="A306" s="5">
        <v>41729</v>
      </c>
      <c r="B306" t="s">
        <v>166</v>
      </c>
      <c r="C306" s="2">
        <v>3</v>
      </c>
      <c r="D306" s="16" t="s">
        <v>283</v>
      </c>
    </row>
    <row r="307" spans="1:4" hidden="1" x14ac:dyDescent="0.15">
      <c r="A307" s="5">
        <v>41729</v>
      </c>
      <c r="B307" s="15" t="s">
        <v>166</v>
      </c>
      <c r="C307" s="2">
        <v>2.5</v>
      </c>
      <c r="D307" s="16" t="s">
        <v>284</v>
      </c>
    </row>
    <row r="308" spans="1:4" hidden="1" x14ac:dyDescent="0.15">
      <c r="A308" s="5">
        <v>41729</v>
      </c>
      <c r="B308" s="15" t="s">
        <v>157</v>
      </c>
      <c r="C308" s="2">
        <v>31.65</v>
      </c>
      <c r="D308" s="16" t="s">
        <v>287</v>
      </c>
    </row>
    <row r="309" spans="1:4" hidden="1" x14ac:dyDescent="0.15">
      <c r="A309" s="5">
        <v>41729</v>
      </c>
      <c r="B309" t="s">
        <v>345</v>
      </c>
      <c r="C309" s="2">
        <v>15</v>
      </c>
      <c r="D309" s="8" t="s">
        <v>208</v>
      </c>
    </row>
    <row r="310" spans="1:4" hidden="1" x14ac:dyDescent="0.15">
      <c r="A310" s="5">
        <v>41730</v>
      </c>
      <c r="B310" s="15" t="s">
        <v>51</v>
      </c>
      <c r="C310" s="2">
        <v>139.5</v>
      </c>
      <c r="D310" s="16" t="s">
        <v>319</v>
      </c>
    </row>
    <row r="311" spans="1:4" hidden="1" x14ac:dyDescent="0.15">
      <c r="A311" s="5">
        <v>41730</v>
      </c>
      <c r="B311" s="15" t="s">
        <v>75</v>
      </c>
      <c r="C311" s="2">
        <v>153.13</v>
      </c>
      <c r="D311" s="16" t="s">
        <v>319</v>
      </c>
    </row>
    <row r="312" spans="1:4" hidden="1" x14ac:dyDescent="0.15">
      <c r="A312" s="5">
        <v>41730</v>
      </c>
      <c r="B312" s="24" t="s">
        <v>82</v>
      </c>
      <c r="C312" s="2">
        <v>25.25</v>
      </c>
      <c r="D312" s="16" t="s">
        <v>367</v>
      </c>
    </row>
    <row r="313" spans="1:4" hidden="1" x14ac:dyDescent="0.15">
      <c r="A313" s="5">
        <v>41730</v>
      </c>
      <c r="B313" s="15" t="s">
        <v>83</v>
      </c>
      <c r="C313" s="2">
        <v>15</v>
      </c>
      <c r="D313" s="16" t="s">
        <v>368</v>
      </c>
    </row>
    <row r="314" spans="1:4" x14ac:dyDescent="0.15">
      <c r="A314" s="5">
        <v>41731</v>
      </c>
      <c r="B314" s="15" t="s">
        <v>161</v>
      </c>
      <c r="C314" s="2">
        <v>1000</v>
      </c>
      <c r="D314" s="16" t="s">
        <v>324</v>
      </c>
    </row>
    <row r="315" spans="1:4" hidden="1" x14ac:dyDescent="0.15">
      <c r="A315" s="17">
        <v>41732</v>
      </c>
      <c r="B315" s="15" t="s">
        <v>25</v>
      </c>
      <c r="C315" s="2">
        <v>50.15</v>
      </c>
      <c r="D315" s="16" t="s">
        <v>339</v>
      </c>
    </row>
    <row r="316" spans="1:4" hidden="1" x14ac:dyDescent="0.15">
      <c r="A316" s="5">
        <v>41732</v>
      </c>
      <c r="B316" s="15" t="s">
        <v>172</v>
      </c>
      <c r="C316" s="2">
        <v>12.98</v>
      </c>
      <c r="D316" s="8" t="s">
        <v>339</v>
      </c>
    </row>
    <row r="317" spans="1:4" hidden="1" x14ac:dyDescent="0.15">
      <c r="A317" s="5">
        <v>41732</v>
      </c>
      <c r="B317" s="15" t="s">
        <v>21</v>
      </c>
      <c r="C317" s="2">
        <v>15.09</v>
      </c>
      <c r="D317" s="16" t="s">
        <v>333</v>
      </c>
    </row>
    <row r="318" spans="1:4" hidden="1" x14ac:dyDescent="0.15">
      <c r="A318" s="5">
        <v>41732</v>
      </c>
      <c r="B318" s="15" t="s">
        <v>157</v>
      </c>
      <c r="C318" s="2">
        <v>20.420000000000002</v>
      </c>
      <c r="D318" s="16" t="s">
        <v>334</v>
      </c>
    </row>
    <row r="319" spans="1:4" hidden="1" x14ac:dyDescent="0.15">
      <c r="A319" s="5">
        <v>41732</v>
      </c>
      <c r="B319" s="15" t="s">
        <v>175</v>
      </c>
      <c r="C319" s="2">
        <v>13.34</v>
      </c>
      <c r="D319" s="16" t="s">
        <v>335</v>
      </c>
    </row>
    <row r="320" spans="1:4" hidden="1" x14ac:dyDescent="0.15">
      <c r="A320" s="5">
        <v>41732</v>
      </c>
      <c r="B320" s="15" t="s">
        <v>57</v>
      </c>
      <c r="C320" s="2">
        <v>47.6</v>
      </c>
      <c r="D320" s="8" t="s">
        <v>208</v>
      </c>
    </row>
    <row r="321" spans="1:4" hidden="1" x14ac:dyDescent="0.15">
      <c r="A321" s="5">
        <v>41732</v>
      </c>
      <c r="B321" s="15" t="s">
        <v>84</v>
      </c>
      <c r="C321" s="2">
        <v>3</v>
      </c>
      <c r="D321" s="16" t="s">
        <v>165</v>
      </c>
    </row>
    <row r="322" spans="1:4" hidden="1" x14ac:dyDescent="0.15">
      <c r="A322" s="5">
        <v>41733</v>
      </c>
      <c r="B322" s="15" t="s">
        <v>59</v>
      </c>
      <c r="C322" s="2">
        <v>90</v>
      </c>
      <c r="D322" s="16" t="s">
        <v>208</v>
      </c>
    </row>
    <row r="323" spans="1:4" hidden="1" x14ac:dyDescent="0.15">
      <c r="A323" s="5">
        <v>41733</v>
      </c>
      <c r="B323" s="15" t="s">
        <v>25</v>
      </c>
      <c r="C323" s="2">
        <v>39.67</v>
      </c>
      <c r="D323" s="8" t="s">
        <v>208</v>
      </c>
    </row>
    <row r="324" spans="1:4" hidden="1" x14ac:dyDescent="0.15">
      <c r="A324" s="5">
        <v>41733</v>
      </c>
      <c r="B324" s="15" t="s">
        <v>173</v>
      </c>
      <c r="C324" s="2">
        <v>19.59</v>
      </c>
      <c r="D324" s="8" t="s">
        <v>208</v>
      </c>
    </row>
    <row r="325" spans="1:4" hidden="1" x14ac:dyDescent="0.15">
      <c r="A325" s="5">
        <v>41733</v>
      </c>
      <c r="B325" s="15" t="s">
        <v>21</v>
      </c>
      <c r="C325" s="2">
        <v>6</v>
      </c>
      <c r="D325" s="16" t="s">
        <v>165</v>
      </c>
    </row>
    <row r="326" spans="1:4" hidden="1" x14ac:dyDescent="0.15">
      <c r="A326" s="5">
        <v>41733</v>
      </c>
      <c r="B326" s="15" t="s">
        <v>84</v>
      </c>
      <c r="C326" s="2">
        <v>3</v>
      </c>
      <c r="D326" s="16" t="s">
        <v>336</v>
      </c>
    </row>
    <row r="327" spans="1:4" hidden="1" x14ac:dyDescent="0.15">
      <c r="A327" s="5">
        <v>41733</v>
      </c>
      <c r="B327" s="15" t="s">
        <v>157</v>
      </c>
      <c r="C327" s="2">
        <v>165.5</v>
      </c>
      <c r="D327" s="16" t="s">
        <v>366</v>
      </c>
    </row>
    <row r="328" spans="1:4" hidden="1" x14ac:dyDescent="0.15">
      <c r="A328" s="5">
        <v>41734</v>
      </c>
      <c r="B328" s="15" t="s">
        <v>89</v>
      </c>
      <c r="C328" s="2">
        <v>306.62</v>
      </c>
      <c r="D328" s="8" t="s">
        <v>208</v>
      </c>
    </row>
    <row r="329" spans="1:4" hidden="1" x14ac:dyDescent="0.15">
      <c r="A329" s="5">
        <v>41734</v>
      </c>
      <c r="B329" s="15" t="s">
        <v>62</v>
      </c>
      <c r="C329" s="2">
        <v>28</v>
      </c>
      <c r="D329" s="16" t="s">
        <v>347</v>
      </c>
    </row>
    <row r="330" spans="1:4" hidden="1" x14ac:dyDescent="0.15">
      <c r="A330" s="5">
        <v>41734</v>
      </c>
      <c r="B330" s="15" t="s">
        <v>21</v>
      </c>
      <c r="C330" s="2">
        <v>8.33</v>
      </c>
      <c r="D330" s="8" t="s">
        <v>208</v>
      </c>
    </row>
    <row r="331" spans="1:4" hidden="1" x14ac:dyDescent="0.15">
      <c r="A331" s="17">
        <v>41734</v>
      </c>
      <c r="B331" t="s">
        <v>84</v>
      </c>
      <c r="C331" s="2">
        <v>3</v>
      </c>
      <c r="D331" s="16" t="s">
        <v>331</v>
      </c>
    </row>
    <row r="332" spans="1:4" hidden="1" x14ac:dyDescent="0.15">
      <c r="A332" s="5">
        <v>41734</v>
      </c>
      <c r="B332" s="15" t="s">
        <v>84</v>
      </c>
      <c r="C332" s="2">
        <v>13.95</v>
      </c>
      <c r="D332" s="16" t="s">
        <v>337</v>
      </c>
    </row>
    <row r="333" spans="1:4" hidden="1" x14ac:dyDescent="0.15">
      <c r="A333" s="5">
        <v>41735</v>
      </c>
      <c r="B333" t="s">
        <v>17</v>
      </c>
      <c r="C333" s="2">
        <v>16</v>
      </c>
      <c r="D333" s="16" t="s">
        <v>208</v>
      </c>
    </row>
    <row r="334" spans="1:4" hidden="1" x14ac:dyDescent="0.15">
      <c r="A334" s="5">
        <v>41735</v>
      </c>
      <c r="B334" s="15" t="s">
        <v>25</v>
      </c>
      <c r="C334" s="2">
        <v>58.7</v>
      </c>
      <c r="D334" s="16" t="s">
        <v>338</v>
      </c>
    </row>
    <row r="335" spans="1:4" hidden="1" x14ac:dyDescent="0.15">
      <c r="A335" s="5">
        <v>41735</v>
      </c>
      <c r="B335" t="s">
        <v>159</v>
      </c>
      <c r="C335" s="2">
        <v>10.49</v>
      </c>
      <c r="D335" s="8" t="s">
        <v>338</v>
      </c>
    </row>
    <row r="336" spans="1:4" hidden="1" x14ac:dyDescent="0.15">
      <c r="A336" s="5">
        <v>41735</v>
      </c>
      <c r="B336" s="15" t="s">
        <v>175</v>
      </c>
      <c r="C336" s="2">
        <v>4.99</v>
      </c>
      <c r="D336" s="16" t="s">
        <v>338</v>
      </c>
    </row>
    <row r="337" spans="1:4" hidden="1" x14ac:dyDescent="0.15">
      <c r="A337" s="5">
        <v>41735</v>
      </c>
      <c r="B337" t="s">
        <v>132</v>
      </c>
      <c r="C337" s="2">
        <v>18.95</v>
      </c>
      <c r="D337" s="16" t="s">
        <v>340</v>
      </c>
    </row>
    <row r="338" spans="1:4" hidden="1" x14ac:dyDescent="0.15">
      <c r="A338" s="5">
        <v>41735</v>
      </c>
      <c r="B338" s="15" t="s">
        <v>21</v>
      </c>
      <c r="C338" s="2">
        <v>2</v>
      </c>
      <c r="D338" s="16" t="s">
        <v>342</v>
      </c>
    </row>
    <row r="339" spans="1:4" hidden="1" x14ac:dyDescent="0.15">
      <c r="A339" s="5">
        <v>41735</v>
      </c>
      <c r="B339" s="15" t="s">
        <v>21</v>
      </c>
      <c r="C339" s="2">
        <v>10.46</v>
      </c>
      <c r="D339" s="8" t="s">
        <v>208</v>
      </c>
    </row>
    <row r="340" spans="1:4" hidden="1" x14ac:dyDescent="0.15">
      <c r="A340" s="5">
        <v>41736</v>
      </c>
      <c r="B340" s="15" t="s">
        <v>21</v>
      </c>
      <c r="C340" s="2">
        <v>41.67</v>
      </c>
      <c r="D340" s="16" t="s">
        <v>332</v>
      </c>
    </row>
    <row r="341" spans="1:4" hidden="1" x14ac:dyDescent="0.15">
      <c r="A341" s="5">
        <v>41736</v>
      </c>
      <c r="B341" s="15" t="s">
        <v>21</v>
      </c>
      <c r="C341" s="2">
        <v>3.26</v>
      </c>
      <c r="D341" s="16" t="s">
        <v>165</v>
      </c>
    </row>
    <row r="342" spans="1:4" hidden="1" x14ac:dyDescent="0.15">
      <c r="A342" s="5">
        <v>41736</v>
      </c>
      <c r="B342" s="15" t="s">
        <v>84</v>
      </c>
      <c r="C342" s="2">
        <v>3</v>
      </c>
      <c r="D342" s="16" t="s">
        <v>331</v>
      </c>
    </row>
    <row r="343" spans="1:4" hidden="1" x14ac:dyDescent="0.15">
      <c r="A343" s="5">
        <v>41736</v>
      </c>
      <c r="B343" s="15" t="s">
        <v>21</v>
      </c>
      <c r="C343" s="2">
        <v>20.54</v>
      </c>
      <c r="D343" s="8" t="s">
        <v>208</v>
      </c>
    </row>
    <row r="344" spans="1:4" hidden="1" x14ac:dyDescent="0.15">
      <c r="A344" s="5">
        <v>41736</v>
      </c>
      <c r="B344" s="15" t="s">
        <v>132</v>
      </c>
      <c r="C344" s="2">
        <v>34.6</v>
      </c>
      <c r="D344" s="8" t="s">
        <v>208</v>
      </c>
    </row>
    <row r="345" spans="1:4" hidden="1" x14ac:dyDescent="0.15">
      <c r="A345" s="17">
        <v>41736</v>
      </c>
      <c r="B345" s="15" t="s">
        <v>132</v>
      </c>
      <c r="C345" s="2">
        <v>10</v>
      </c>
      <c r="D345" s="16" t="s">
        <v>343</v>
      </c>
    </row>
    <row r="346" spans="1:4" hidden="1" x14ac:dyDescent="0.15">
      <c r="A346" s="17">
        <v>41736</v>
      </c>
      <c r="B346" s="15" t="s">
        <v>25</v>
      </c>
      <c r="C346" s="2">
        <v>22.88</v>
      </c>
      <c r="D346" s="8" t="s">
        <v>208</v>
      </c>
    </row>
    <row r="347" spans="1:4" hidden="1" x14ac:dyDescent="0.15">
      <c r="A347" s="5">
        <v>41736</v>
      </c>
      <c r="B347" s="15" t="s">
        <v>21</v>
      </c>
      <c r="C347" s="2">
        <v>38.67</v>
      </c>
      <c r="D347" s="8" t="s">
        <v>208</v>
      </c>
    </row>
    <row r="348" spans="1:4" hidden="1" x14ac:dyDescent="0.15">
      <c r="A348" s="5">
        <v>41736</v>
      </c>
      <c r="B348" s="15" t="s">
        <v>21</v>
      </c>
      <c r="C348" s="2">
        <v>3</v>
      </c>
      <c r="D348" s="16" t="s">
        <v>344</v>
      </c>
    </row>
    <row r="349" spans="1:4" hidden="1" x14ac:dyDescent="0.15">
      <c r="A349" s="5">
        <v>41736</v>
      </c>
      <c r="B349" s="15" t="s">
        <v>21</v>
      </c>
      <c r="C349" s="14">
        <v>3.26</v>
      </c>
      <c r="D349" s="8" t="s">
        <v>165</v>
      </c>
    </row>
    <row r="350" spans="1:4" hidden="1" x14ac:dyDescent="0.15">
      <c r="A350" s="17">
        <v>41737</v>
      </c>
      <c r="B350" s="15" t="s">
        <v>24</v>
      </c>
      <c r="C350" s="14">
        <v>26.38</v>
      </c>
      <c r="D350" s="16" t="s">
        <v>363</v>
      </c>
    </row>
    <row r="351" spans="1:4" hidden="1" x14ac:dyDescent="0.15">
      <c r="A351" s="5">
        <v>41737</v>
      </c>
      <c r="B351" s="15" t="s">
        <v>16</v>
      </c>
      <c r="C351" s="14">
        <v>13.56</v>
      </c>
      <c r="D351" s="16" t="s">
        <v>364</v>
      </c>
    </row>
    <row r="352" spans="1:4" hidden="1" x14ac:dyDescent="0.15">
      <c r="A352" s="5">
        <v>41737</v>
      </c>
      <c r="B352" s="15" t="s">
        <v>173</v>
      </c>
      <c r="C352" s="2">
        <v>19.59</v>
      </c>
      <c r="D352" s="8" t="s">
        <v>208</v>
      </c>
    </row>
    <row r="353" spans="1:4" hidden="1" x14ac:dyDescent="0.15">
      <c r="A353" s="5">
        <v>41737</v>
      </c>
      <c r="B353" t="s">
        <v>59</v>
      </c>
      <c r="C353" s="2">
        <v>90</v>
      </c>
      <c r="D353" s="16" t="s">
        <v>365</v>
      </c>
    </row>
    <row r="354" spans="1:4" ht="26" hidden="1" x14ac:dyDescent="0.15">
      <c r="A354" s="5">
        <v>41738</v>
      </c>
      <c r="B354" s="15" t="s">
        <v>25</v>
      </c>
      <c r="C354" s="2">
        <v>51.98</v>
      </c>
      <c r="D354" s="16" t="s">
        <v>359</v>
      </c>
    </row>
    <row r="355" spans="1:4" ht="26" hidden="1" x14ac:dyDescent="0.15">
      <c r="A355" s="5">
        <v>41738</v>
      </c>
      <c r="B355" s="15" t="s">
        <v>126</v>
      </c>
      <c r="C355" s="2">
        <v>11.98</v>
      </c>
      <c r="D355" s="16" t="s">
        <v>359</v>
      </c>
    </row>
    <row r="356" spans="1:4" hidden="1" x14ac:dyDescent="0.15">
      <c r="A356" s="5">
        <v>41738</v>
      </c>
      <c r="B356" s="15" t="s">
        <v>84</v>
      </c>
      <c r="C356" s="2">
        <v>20</v>
      </c>
      <c r="D356" s="16" t="s">
        <v>360</v>
      </c>
    </row>
    <row r="357" spans="1:4" hidden="1" x14ac:dyDescent="0.15">
      <c r="A357" s="17">
        <v>41738</v>
      </c>
      <c r="C357" s="2">
        <v>53.93</v>
      </c>
      <c r="D357" s="16" t="s">
        <v>361</v>
      </c>
    </row>
    <row r="358" spans="1:4" hidden="1" x14ac:dyDescent="0.15">
      <c r="A358" s="91">
        <v>41738</v>
      </c>
      <c r="B358" s="15" t="s">
        <v>21</v>
      </c>
      <c r="C358" s="2">
        <v>10.69</v>
      </c>
      <c r="D358" s="16" t="s">
        <v>362</v>
      </c>
    </row>
    <row r="359" spans="1:4" hidden="1" x14ac:dyDescent="0.15">
      <c r="A359" s="5">
        <v>41739</v>
      </c>
      <c r="B359" s="15" t="s">
        <v>59</v>
      </c>
      <c r="C359" s="2">
        <v>110.57</v>
      </c>
      <c r="D359" s="16" t="s">
        <v>192</v>
      </c>
    </row>
    <row r="360" spans="1:4" hidden="1" x14ac:dyDescent="0.15">
      <c r="A360" s="5">
        <v>41739</v>
      </c>
      <c r="B360" s="15" t="s">
        <v>84</v>
      </c>
      <c r="C360" s="2">
        <v>3</v>
      </c>
      <c r="D360" s="16" t="s">
        <v>331</v>
      </c>
    </row>
    <row r="361" spans="1:4" hidden="1" x14ac:dyDescent="0.15">
      <c r="A361" s="5">
        <v>41739</v>
      </c>
      <c r="B361" s="15" t="s">
        <v>21</v>
      </c>
      <c r="C361" s="2">
        <v>12.72</v>
      </c>
      <c r="D361" s="16" t="s">
        <v>208</v>
      </c>
    </row>
    <row r="362" spans="1:4" x14ac:dyDescent="0.15">
      <c r="A362" s="5">
        <v>41739</v>
      </c>
      <c r="B362" s="15" t="s">
        <v>161</v>
      </c>
      <c r="C362" s="2">
        <v>562.25</v>
      </c>
      <c r="D362" s="16" t="s">
        <v>371</v>
      </c>
    </row>
    <row r="363" spans="1:4" hidden="1" x14ac:dyDescent="0.15">
      <c r="A363" s="17">
        <v>41739</v>
      </c>
      <c r="B363" s="15" t="s">
        <v>16</v>
      </c>
      <c r="C363" s="2">
        <v>15.35</v>
      </c>
      <c r="D363" s="16" t="s">
        <v>208</v>
      </c>
    </row>
    <row r="364" spans="1:4" hidden="1" x14ac:dyDescent="0.15">
      <c r="A364" s="5">
        <v>41739</v>
      </c>
      <c r="B364" s="15" t="s">
        <v>322</v>
      </c>
      <c r="C364" s="2">
        <v>14.15</v>
      </c>
      <c r="D364" s="16" t="s">
        <v>350</v>
      </c>
    </row>
    <row r="365" spans="1:4" hidden="1" x14ac:dyDescent="0.15">
      <c r="A365" s="5">
        <v>41739</v>
      </c>
      <c r="B365" s="15" t="s">
        <v>87</v>
      </c>
      <c r="C365" s="2">
        <v>133.53</v>
      </c>
      <c r="D365" s="16" t="s">
        <v>352</v>
      </c>
    </row>
    <row r="366" spans="1:4" hidden="1" x14ac:dyDescent="0.15">
      <c r="A366" s="5">
        <v>41739</v>
      </c>
      <c r="B366" s="15" t="s">
        <v>122</v>
      </c>
      <c r="C366" s="2">
        <v>380.67</v>
      </c>
      <c r="D366" s="16" t="s">
        <v>354</v>
      </c>
    </row>
    <row r="367" spans="1:4" hidden="1" x14ac:dyDescent="0.15">
      <c r="A367" s="17">
        <v>41739</v>
      </c>
      <c r="B367" s="15" t="s">
        <v>122</v>
      </c>
      <c r="C367" s="2">
        <v>43.4</v>
      </c>
      <c r="D367" s="16" t="s">
        <v>355</v>
      </c>
    </row>
    <row r="368" spans="1:4" hidden="1" x14ac:dyDescent="0.15">
      <c r="A368" s="5">
        <v>41739</v>
      </c>
      <c r="B368" s="15" t="s">
        <v>19</v>
      </c>
      <c r="C368" s="2">
        <v>1.61</v>
      </c>
      <c r="D368" s="16" t="s">
        <v>356</v>
      </c>
    </row>
    <row r="369" spans="1:4" hidden="1" x14ac:dyDescent="0.15">
      <c r="A369" s="5">
        <v>41739</v>
      </c>
      <c r="B369" s="15" t="s">
        <v>19</v>
      </c>
      <c r="C369" s="2">
        <v>4.99</v>
      </c>
      <c r="D369" s="16" t="s">
        <v>357</v>
      </c>
    </row>
    <row r="370" spans="1:4" hidden="1" x14ac:dyDescent="0.15">
      <c r="A370" s="5">
        <v>41739</v>
      </c>
      <c r="B370" s="15" t="s">
        <v>84</v>
      </c>
      <c r="C370" s="2">
        <v>35</v>
      </c>
      <c r="D370" s="16" t="s">
        <v>358</v>
      </c>
    </row>
    <row r="371" spans="1:4" hidden="1" x14ac:dyDescent="0.15">
      <c r="A371" s="5">
        <v>41740</v>
      </c>
      <c r="B371" s="15" t="s">
        <v>129</v>
      </c>
      <c r="C371" s="2">
        <v>38.520000000000003</v>
      </c>
      <c r="D371" s="16" t="s">
        <v>351</v>
      </c>
    </row>
    <row r="372" spans="1:4" hidden="1" x14ac:dyDescent="0.15">
      <c r="A372" s="5">
        <v>41739</v>
      </c>
      <c r="B372" s="15" t="s">
        <v>21</v>
      </c>
      <c r="C372" s="2">
        <v>35</v>
      </c>
      <c r="D372" s="16" t="s">
        <v>275</v>
      </c>
    </row>
    <row r="373" spans="1:4" hidden="1" x14ac:dyDescent="0.15">
      <c r="A373" s="5">
        <v>41757</v>
      </c>
      <c r="B373" s="15" t="s">
        <v>25</v>
      </c>
      <c r="C373" s="2">
        <v>90</v>
      </c>
      <c r="D373" s="16" t="s">
        <v>279</v>
      </c>
    </row>
    <row r="374" spans="1:4" hidden="1" x14ac:dyDescent="0.15">
      <c r="A374" s="5">
        <v>41756</v>
      </c>
      <c r="B374" s="15" t="s">
        <v>230</v>
      </c>
      <c r="C374" s="92">
        <v>100</v>
      </c>
      <c r="D374" s="8" t="s">
        <v>275</v>
      </c>
    </row>
    <row r="375" spans="1:4" hidden="1" x14ac:dyDescent="0.15">
      <c r="A375" s="5">
        <v>41758</v>
      </c>
      <c r="B375" t="s">
        <v>25</v>
      </c>
      <c r="C375" s="2">
        <v>300</v>
      </c>
      <c r="D375" s="8" t="s">
        <v>279</v>
      </c>
    </row>
    <row r="376" spans="1:4" hidden="1" x14ac:dyDescent="0.15">
      <c r="A376" s="5">
        <v>41758</v>
      </c>
      <c r="B376" t="s">
        <v>21</v>
      </c>
      <c r="C376" s="2">
        <v>600</v>
      </c>
      <c r="D376" s="8" t="s">
        <v>275</v>
      </c>
    </row>
    <row r="377" spans="1:4" hidden="1" x14ac:dyDescent="0.15">
      <c r="A377" s="5">
        <v>41756</v>
      </c>
      <c r="B377" t="s">
        <v>129</v>
      </c>
      <c r="C377" s="2">
        <v>900</v>
      </c>
      <c r="D377" s="8" t="s">
        <v>279</v>
      </c>
    </row>
    <row r="378" spans="1:4" hidden="1" x14ac:dyDescent="0.15">
      <c r="A378" s="5">
        <v>41756</v>
      </c>
      <c r="B378" t="s">
        <v>21</v>
      </c>
      <c r="C378" s="2">
        <v>980</v>
      </c>
      <c r="D378" s="8" t="s">
        <v>275</v>
      </c>
    </row>
    <row r="379" spans="1:4" hidden="1" x14ac:dyDescent="0.15">
      <c r="A379" s="5">
        <v>41758</v>
      </c>
      <c r="B379" t="s">
        <v>25</v>
      </c>
      <c r="C379" s="2">
        <v>999</v>
      </c>
      <c r="D379" s="8" t="s">
        <v>279</v>
      </c>
    </row>
    <row r="380" spans="1:4" hidden="1" x14ac:dyDescent="0.15">
      <c r="A380" s="5">
        <v>41758</v>
      </c>
      <c r="B380" t="s">
        <v>21</v>
      </c>
      <c r="C380" s="2">
        <v>2454</v>
      </c>
      <c r="D380" s="8" t="s">
        <v>275</v>
      </c>
    </row>
    <row r="381" spans="1:4" hidden="1" x14ac:dyDescent="0.15">
      <c r="A381" s="5">
        <v>41758</v>
      </c>
      <c r="B381" t="s">
        <v>129</v>
      </c>
      <c r="C381" s="2">
        <v>333</v>
      </c>
      <c r="D381" s="8" t="s">
        <v>275</v>
      </c>
    </row>
    <row r="382" spans="1:4" hidden="1" x14ac:dyDescent="0.15">
      <c r="A382" s="5">
        <v>41757</v>
      </c>
      <c r="B382" t="s">
        <v>21</v>
      </c>
      <c r="C382" s="2">
        <v>1200</v>
      </c>
      <c r="D382" s="8" t="s">
        <v>279</v>
      </c>
    </row>
    <row r="383" spans="1:4" hidden="1" x14ac:dyDescent="0.15">
      <c r="A383" s="5">
        <v>41761</v>
      </c>
      <c r="B383" s="15" t="s">
        <v>379</v>
      </c>
      <c r="C383" s="2">
        <v>100</v>
      </c>
      <c r="D383" s="8" t="s">
        <v>279</v>
      </c>
    </row>
    <row r="384" spans="1:4" hidden="1" x14ac:dyDescent="0.15">
      <c r="A384" s="5">
        <v>41760</v>
      </c>
      <c r="B384" t="s">
        <v>25</v>
      </c>
      <c r="C384" s="2">
        <v>300</v>
      </c>
      <c r="D384" s="8" t="s">
        <v>279</v>
      </c>
    </row>
    <row r="385" spans="1:4" hidden="1" x14ac:dyDescent="0.15">
      <c r="A385" s="5">
        <v>41759</v>
      </c>
      <c r="B385" t="s">
        <v>84</v>
      </c>
      <c r="C385" s="2">
        <v>45</v>
      </c>
      <c r="D385" s="8" t="s">
        <v>279</v>
      </c>
    </row>
    <row r="386" spans="1:4" hidden="1" x14ac:dyDescent="0.15">
      <c r="A386" s="5">
        <v>41759</v>
      </c>
      <c r="B386" t="s">
        <v>25</v>
      </c>
      <c r="C386" s="2">
        <v>90</v>
      </c>
      <c r="D386" s="8" t="s">
        <v>279</v>
      </c>
    </row>
    <row r="387" spans="1:4" hidden="1" x14ac:dyDescent="0.15">
      <c r="A387" s="5">
        <v>41760</v>
      </c>
      <c r="B387" t="s">
        <v>21</v>
      </c>
      <c r="C387" s="2">
        <v>95</v>
      </c>
      <c r="D387" s="8" t="s">
        <v>279</v>
      </c>
    </row>
    <row r="388" spans="1:4" hidden="1" x14ac:dyDescent="0.15">
      <c r="A388" s="5">
        <v>41761</v>
      </c>
      <c r="B388" t="s">
        <v>21</v>
      </c>
      <c r="C388" s="2">
        <v>200</v>
      </c>
      <c r="D388" s="8" t="s">
        <v>279</v>
      </c>
    </row>
    <row r="389" spans="1:4" hidden="1" x14ac:dyDescent="0.15">
      <c r="A389" s="5">
        <v>41760</v>
      </c>
      <c r="B389" t="s">
        <v>21</v>
      </c>
      <c r="C389" s="2">
        <v>300</v>
      </c>
      <c r="D389" s="8" t="s">
        <v>275</v>
      </c>
    </row>
    <row r="390" spans="1:4" hidden="1" x14ac:dyDescent="0.15">
      <c r="A390" s="5">
        <v>41761</v>
      </c>
      <c r="B390" t="s">
        <v>21</v>
      </c>
      <c r="C390" s="2">
        <v>120</v>
      </c>
      <c r="D390" s="8" t="s">
        <v>279</v>
      </c>
    </row>
    <row r="391" spans="1:4" hidden="1" x14ac:dyDescent="0.15">
      <c r="A391" s="5">
        <v>41759</v>
      </c>
      <c r="B391" t="s">
        <v>84</v>
      </c>
      <c r="C391" s="2">
        <v>35</v>
      </c>
      <c r="D391" s="8" t="s">
        <v>279</v>
      </c>
    </row>
  </sheetData>
  <autoFilter ref="A1:D391" xr:uid="{00000000-0009-0000-0000-000001000000}">
    <filterColumn colId="1">
      <filters>
        <filter val="Consultant"/>
      </filters>
    </filterColumn>
  </autoFilter>
  <sortState ref="A2:D138">
    <sortCondition ref="A3:A138"/>
  </sortState>
  <phoneticPr fontId="6" type="noConversion"/>
  <dataValidations count="1">
    <dataValidation type="list" allowBlank="1" showInputMessage="1" showErrorMessage="1" sqref="B2:B38 B40:B315 B317:B355 B357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2108200</xdr:colOff>
                    <xdr:row>0</xdr:row>
                    <xdr:rowOff>279400</xdr:rowOff>
                  </from>
                  <to>
                    <xdr:col>3</xdr:col>
                    <xdr:colOff>3035300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AmazonPrimeVisa">
                <anchor moveWithCells="1" sizeWithCells="1">
                  <from>
                    <xdr:col>3</xdr:col>
                    <xdr:colOff>63500</xdr:colOff>
                    <xdr:row>0</xdr:row>
                    <xdr:rowOff>266700</xdr:rowOff>
                  </from>
                  <to>
                    <xdr:col>3</xdr:col>
                    <xdr:colOff>990600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20" name="Button 58">
              <controlPr defaultSize="0" print="0" autoFill="0" autoPict="0" macro="[0]!tdbCheck">
                <anchor moveWithCells="1" sizeWithCells="1">
                  <from>
                    <xdr:col>3</xdr:col>
                    <xdr:colOff>1079500</xdr:colOff>
                    <xdr:row>0</xdr:row>
                    <xdr:rowOff>50800</xdr:rowOff>
                  </from>
                  <to>
                    <xdr:col>3</xdr:col>
                    <xdr:colOff>1993900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topLeftCell="C6" zoomScale="61" zoomScaleNormal="61" workbookViewId="0">
      <selection activeCell="G17" sqref="G17:G22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13</v>
      </c>
      <c r="C1" s="30" t="s">
        <v>14</v>
      </c>
      <c r="D1" s="31"/>
      <c r="E1" s="63"/>
      <c r="F1" s="33" t="s">
        <v>326</v>
      </c>
      <c r="G1" s="30" t="s">
        <v>12</v>
      </c>
      <c r="H1" s="30" t="s">
        <v>32</v>
      </c>
      <c r="I1" s="34"/>
      <c r="J1" s="30" t="s">
        <v>11</v>
      </c>
      <c r="K1" s="30" t="s">
        <v>33</v>
      </c>
    </row>
    <row r="2" spans="2:11" ht="30" x14ac:dyDescent="0.3">
      <c r="B2" s="35" t="s">
        <v>3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304</v>
      </c>
      <c r="G2" s="39" t="s">
        <v>281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5</v>
      </c>
      <c r="C3" s="36">
        <f t="shared" si="0"/>
        <v>3835.75</v>
      </c>
      <c r="D3" s="37"/>
      <c r="E3" s="64"/>
      <c r="F3" s="41" t="s">
        <v>303</v>
      </c>
      <c r="G3" s="39" t="s">
        <v>77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63</v>
      </c>
      <c r="C4" s="36">
        <f t="shared" si="0"/>
        <v>9005.8099999999959</v>
      </c>
      <c r="D4" s="37"/>
      <c r="E4" s="65"/>
      <c r="F4" s="32" t="s">
        <v>305</v>
      </c>
      <c r="G4" s="39" t="s">
        <v>89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6</v>
      </c>
      <c r="C5" s="36">
        <f t="shared" si="0"/>
        <v>2796</v>
      </c>
      <c r="D5" s="37"/>
      <c r="E5" s="63"/>
      <c r="F5" s="38" t="s">
        <v>305</v>
      </c>
      <c r="G5" s="39" t="s">
        <v>88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86</v>
      </c>
      <c r="C6" s="36">
        <f t="shared" si="0"/>
        <v>0.02</v>
      </c>
      <c r="D6" s="37"/>
      <c r="E6" s="63"/>
      <c r="F6" s="38" t="s">
        <v>306</v>
      </c>
      <c r="G6" s="39" t="s">
        <v>24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341</v>
      </c>
      <c r="C7" s="36">
        <f t="shared" si="0"/>
        <v>0</v>
      </c>
      <c r="D7" s="37"/>
      <c r="E7" s="63"/>
      <c r="F7" s="38" t="s">
        <v>307</v>
      </c>
      <c r="G7" s="34" t="s">
        <v>82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30</v>
      </c>
      <c r="C8" s="43">
        <f>SUM(C2:C7)</f>
        <v>15637.579999999996</v>
      </c>
      <c r="D8" s="34"/>
      <c r="E8" s="66" t="str">
        <f>"HOUSEHOLD:  $"&amp;SUM(H8:H15)</f>
        <v>HOUSEHOLD:  $1361.76</v>
      </c>
      <c r="F8" s="44"/>
      <c r="G8" s="45" t="s">
        <v>36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37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38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39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172</v>
      </c>
      <c r="H12" s="49">
        <f t="shared" si="1"/>
        <v>53.28</v>
      </c>
      <c r="I12" s="34"/>
      <c r="J12" s="34"/>
      <c r="K12" s="34"/>
    </row>
    <row r="13" spans="2:11" ht="30" x14ac:dyDescent="0.3">
      <c r="B13" s="52" t="s">
        <v>150</v>
      </c>
      <c r="C13" s="36">
        <f>C8</f>
        <v>15637.579999999996</v>
      </c>
      <c r="D13" s="34"/>
      <c r="E13" s="66"/>
      <c r="F13" s="47"/>
      <c r="G13" s="48" t="s">
        <v>40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151</v>
      </c>
      <c r="C14" s="36">
        <f>H59</f>
        <v>24196.29</v>
      </c>
      <c r="D14" s="34"/>
      <c r="E14" s="66"/>
      <c r="F14" s="47"/>
      <c r="G14" s="48" t="s">
        <v>66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152</v>
      </c>
      <c r="C15" s="43">
        <f>C13-C14</f>
        <v>-8558.7100000000046</v>
      </c>
      <c r="D15" s="34"/>
      <c r="E15" s="66"/>
      <c r="F15" s="47"/>
      <c r="G15" s="48" t="s">
        <v>41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$132</v>
      </c>
      <c r="F16" s="53"/>
      <c r="G16" s="54" t="s">
        <v>90</v>
      </c>
      <c r="H16" s="55">
        <f t="shared" si="1"/>
        <v>132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308</v>
      </c>
      <c r="G17" s="39" t="s">
        <v>104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321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318</v>
      </c>
      <c r="G19" s="39" t="s">
        <v>314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317</v>
      </c>
      <c r="G20" s="39" t="s">
        <v>320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316</v>
      </c>
      <c r="G21" s="39" t="s">
        <v>105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316</v>
      </c>
      <c r="G22" s="39" t="s">
        <v>106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$2715.19</v>
      </c>
      <c r="F23" s="47"/>
      <c r="G23" s="48" t="s">
        <v>108</v>
      </c>
      <c r="H23" s="49">
        <f t="shared" si="1"/>
        <v>2044.0400000000002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107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173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109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110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111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112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$1606.52</v>
      </c>
      <c r="F30" s="50"/>
      <c r="G30" s="48" t="s">
        <v>113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114</v>
      </c>
      <c r="H31" s="49">
        <f t="shared" si="1"/>
        <v>924.82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115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19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94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101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102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$5536.07</v>
      </c>
      <c r="F37" s="59"/>
      <c r="G37" s="60" t="s">
        <v>42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302</v>
      </c>
      <c r="G38" s="60" t="s">
        <v>87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$4395.7</v>
      </c>
      <c r="F39" s="59"/>
      <c r="G39" s="60" t="s">
        <v>93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95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96</v>
      </c>
      <c r="H41" s="61">
        <f t="shared" si="2"/>
        <v>45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43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71</v>
      </c>
      <c r="H43" s="61">
        <f t="shared" si="2"/>
        <v>392.62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175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98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"BUSINESS SUBSCRIPTIONS &amp; TRAVEL:  $"&amp;SUM(H45:H47)</f>
        <v>BUSINESS SUBSCRIPTIONS &amp; TRAVEL:  $91.06</v>
      </c>
      <c r="F46" s="59"/>
      <c r="G46" s="60" t="s">
        <v>99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100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31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127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116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117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103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322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48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49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50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69</v>
      </c>
      <c r="H59" s="43">
        <f>SUM(H2:H58)</f>
        <v>24196.29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topLeftCell="C1" workbookViewId="0">
      <selection activeCell="H2" sqref="H2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30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147</v>
      </c>
      <c r="B1" s="13" t="s">
        <v>148</v>
      </c>
      <c r="C1" s="12"/>
      <c r="D1" s="13" t="s">
        <v>149</v>
      </c>
      <c r="E1" s="13" t="s">
        <v>148</v>
      </c>
      <c r="F1" s="13" t="s">
        <v>72</v>
      </c>
      <c r="G1" s="12"/>
      <c r="H1" s="13" t="s">
        <v>73</v>
      </c>
      <c r="I1" s="13" t="s">
        <v>148</v>
      </c>
      <c r="J1" s="13" t="s">
        <v>72</v>
      </c>
      <c r="K1" s="12"/>
      <c r="L1" s="13" t="s">
        <v>74</v>
      </c>
      <c r="M1" s="13" t="s">
        <v>148</v>
      </c>
      <c r="N1" s="13" t="s">
        <v>72</v>
      </c>
    </row>
    <row r="2" spans="1:14" x14ac:dyDescent="0.15">
      <c r="A2" s="6" t="s">
        <v>136</v>
      </c>
      <c r="B2" s="6">
        <v>7690185199</v>
      </c>
      <c r="D2" s="6" t="s">
        <v>139</v>
      </c>
      <c r="E2" s="6">
        <v>4896</v>
      </c>
      <c r="F2" s="9">
        <v>41868</v>
      </c>
      <c r="H2" s="6" t="s">
        <v>143</v>
      </c>
      <c r="I2" s="6">
        <v>5474</v>
      </c>
      <c r="J2" s="10">
        <v>43465</v>
      </c>
      <c r="L2" s="6" t="s">
        <v>134</v>
      </c>
      <c r="M2" s="6">
        <v>7124</v>
      </c>
      <c r="N2" s="10">
        <v>41729</v>
      </c>
    </row>
    <row r="3" spans="1:14" x14ac:dyDescent="0.15">
      <c r="A3" s="6" t="s">
        <v>137</v>
      </c>
      <c r="B3" s="6">
        <v>83904974</v>
      </c>
      <c r="D3" s="6" t="s">
        <v>140</v>
      </c>
      <c r="E3" s="6">
        <v>1380</v>
      </c>
      <c r="F3" s="9">
        <v>42277</v>
      </c>
      <c r="H3" s="6" t="s">
        <v>144</v>
      </c>
      <c r="I3" s="6">
        <v>3141</v>
      </c>
      <c r="J3" s="11">
        <v>42093</v>
      </c>
      <c r="L3" s="6" t="s">
        <v>135</v>
      </c>
      <c r="M3" s="6">
        <v>1675</v>
      </c>
      <c r="N3" s="10">
        <v>42674</v>
      </c>
    </row>
    <row r="4" spans="1:14" x14ac:dyDescent="0.15">
      <c r="A4" s="6" t="s">
        <v>138</v>
      </c>
      <c r="B4" s="6">
        <v>4256752069</v>
      </c>
      <c r="D4" s="6" t="s">
        <v>141</v>
      </c>
      <c r="E4" s="6">
        <v>4978</v>
      </c>
      <c r="F4" s="9">
        <v>43039</v>
      </c>
      <c r="H4" s="6" t="s">
        <v>144</v>
      </c>
      <c r="I4" s="6">
        <v>3561</v>
      </c>
      <c r="J4" s="11">
        <v>42520</v>
      </c>
      <c r="L4" s="6" t="s">
        <v>136</v>
      </c>
      <c r="M4" s="6">
        <v>7836</v>
      </c>
      <c r="N4" s="10">
        <v>41912</v>
      </c>
    </row>
    <row r="5" spans="1:14" x14ac:dyDescent="0.15">
      <c r="D5" s="6" t="s">
        <v>142</v>
      </c>
      <c r="E5" s="6">
        <v>1621</v>
      </c>
      <c r="F5" s="9">
        <v>42855</v>
      </c>
      <c r="H5" s="6" t="s">
        <v>145</v>
      </c>
      <c r="I5" s="6">
        <v>7030</v>
      </c>
      <c r="J5" s="10">
        <v>41670</v>
      </c>
    </row>
    <row r="6" spans="1:14" x14ac:dyDescent="0.15">
      <c r="H6" s="6" t="s">
        <v>146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topLeftCell="A15" zoomScale="61" zoomScaleNormal="61" workbookViewId="0">
      <selection activeCell="E47" sqref="E47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13</v>
      </c>
      <c r="C1" s="30" t="s">
        <v>14</v>
      </c>
      <c r="D1" s="31"/>
      <c r="E1" s="73"/>
      <c r="F1" s="33" t="s">
        <v>326</v>
      </c>
      <c r="G1" s="30" t="s">
        <v>12</v>
      </c>
      <c r="H1" s="30" t="s">
        <v>14</v>
      </c>
      <c r="I1" s="34"/>
      <c r="J1" s="30" t="s">
        <v>11</v>
      </c>
      <c r="K1" s="30" t="s">
        <v>33</v>
      </c>
    </row>
    <row r="2" spans="2:11" ht="30" x14ac:dyDescent="0.3">
      <c r="B2" s="35" t="s">
        <v>3</v>
      </c>
      <c r="C2" s="36">
        <f t="shared" ref="C2:C7" si="0"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304</v>
      </c>
      <c r="G2" s="35" t="s">
        <v>281</v>
      </c>
      <c r="H2" s="36">
        <f t="shared" ref="H2:H33" si="1"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 x14ac:dyDescent="0.3">
      <c r="B3" s="35" t="s">
        <v>5</v>
      </c>
      <c r="C3" s="36">
        <f t="shared" si="0"/>
        <v>1278.5833333333333</v>
      </c>
      <c r="D3" s="37"/>
      <c r="E3" s="73"/>
      <c r="F3" s="80" t="s">
        <v>303</v>
      </c>
      <c r="G3" s="35" t="s">
        <v>77</v>
      </c>
      <c r="H3" s="36">
        <f t="shared" si="1"/>
        <v>159.52000000000001</v>
      </c>
      <c r="I3" s="34"/>
      <c r="J3" s="34"/>
      <c r="K3" s="34"/>
    </row>
    <row r="4" spans="2:11" ht="30" x14ac:dyDescent="0.3">
      <c r="B4" s="35" t="s">
        <v>63</v>
      </c>
      <c r="C4" s="36">
        <f t="shared" si="0"/>
        <v>3001.9366666666651</v>
      </c>
      <c r="D4" s="37"/>
      <c r="E4" s="74"/>
      <c r="F4" s="32" t="s">
        <v>305</v>
      </c>
      <c r="G4" s="35" t="s">
        <v>89</v>
      </c>
      <c r="H4" s="36">
        <f t="shared" si="1"/>
        <v>276.81666666666666</v>
      </c>
      <c r="I4" s="34"/>
      <c r="J4" s="34"/>
      <c r="K4" s="34"/>
    </row>
    <row r="5" spans="2:11" ht="30" x14ac:dyDescent="0.3">
      <c r="B5" s="35" t="s">
        <v>6</v>
      </c>
      <c r="C5" s="36">
        <f t="shared" si="0"/>
        <v>932</v>
      </c>
      <c r="D5" s="37"/>
      <c r="E5" s="73"/>
      <c r="F5" s="79" t="s">
        <v>305</v>
      </c>
      <c r="G5" s="35" t="s">
        <v>88</v>
      </c>
      <c r="H5" s="36">
        <f t="shared" si="1"/>
        <v>94.763333333333335</v>
      </c>
      <c r="I5" s="34"/>
      <c r="J5" s="34"/>
      <c r="K5" s="34"/>
    </row>
    <row r="6" spans="2:11" ht="30" x14ac:dyDescent="0.3">
      <c r="B6" s="42" t="s">
        <v>86</v>
      </c>
      <c r="C6" s="36">
        <f t="shared" si="0"/>
        <v>6.6666666666666671E-3</v>
      </c>
      <c r="D6" s="37"/>
      <c r="E6" s="73"/>
      <c r="F6" s="79" t="s">
        <v>306</v>
      </c>
      <c r="G6" s="35" t="s">
        <v>24</v>
      </c>
      <c r="H6" s="36">
        <f t="shared" si="1"/>
        <v>26.38</v>
      </c>
      <c r="I6" s="34"/>
      <c r="J6" s="34"/>
      <c r="K6" s="34"/>
    </row>
    <row r="7" spans="2:11" ht="30" x14ac:dyDescent="0.3">
      <c r="B7" s="35" t="s">
        <v>341</v>
      </c>
      <c r="C7" s="36">
        <f t="shared" si="0"/>
        <v>0</v>
      </c>
      <c r="D7" s="37"/>
      <c r="E7" s="73"/>
      <c r="F7" s="79" t="s">
        <v>307</v>
      </c>
      <c r="G7" s="35" t="s">
        <v>82</v>
      </c>
      <c r="H7" s="36">
        <f t="shared" si="1"/>
        <v>25.25</v>
      </c>
      <c r="I7" s="34"/>
      <c r="J7" s="34"/>
      <c r="K7" s="34"/>
    </row>
    <row r="8" spans="2:11" ht="60" x14ac:dyDescent="0.3">
      <c r="B8" s="30" t="s">
        <v>30</v>
      </c>
      <c r="C8" s="43">
        <f>SUM(C2:C7)</f>
        <v>5212.5266666666657</v>
      </c>
      <c r="D8" s="34"/>
      <c r="E8" s="75" t="str">
        <f>"HOUSEHOLD:  $"&amp;SUM(H8:H15)</f>
        <v>HOUSEHOLD:  $453.92</v>
      </c>
      <c r="F8" s="81"/>
      <c r="G8" s="88" t="s">
        <v>36</v>
      </c>
      <c r="H8" s="36">
        <f t="shared" si="1"/>
        <v>17.433333333333334</v>
      </c>
      <c r="I8" s="34"/>
      <c r="J8" s="34"/>
      <c r="K8" s="34"/>
    </row>
    <row r="9" spans="2:11" ht="30" x14ac:dyDescent="0.3">
      <c r="B9" s="34"/>
      <c r="C9" s="34"/>
      <c r="D9" s="34"/>
      <c r="E9" s="75"/>
      <c r="F9" s="82"/>
      <c r="G9" s="88" t="s">
        <v>37</v>
      </c>
      <c r="H9" s="36">
        <f t="shared" si="1"/>
        <v>71.13333333333334</v>
      </c>
      <c r="I9" s="34"/>
      <c r="J9" s="34"/>
      <c r="K9" s="34"/>
    </row>
    <row r="10" spans="2:11" ht="30" x14ac:dyDescent="0.3">
      <c r="B10" s="34"/>
      <c r="C10" s="34"/>
      <c r="D10" s="34"/>
      <c r="E10" s="75"/>
      <c r="F10" s="83"/>
      <c r="G10" s="88" t="s">
        <v>38</v>
      </c>
      <c r="H10" s="36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75"/>
      <c r="F11" s="82"/>
      <c r="G11" s="88" t="s">
        <v>39</v>
      </c>
      <c r="H11" s="36">
        <f t="shared" si="1"/>
        <v>100</v>
      </c>
      <c r="I11" s="34"/>
      <c r="J11" s="34"/>
      <c r="K11" s="34"/>
    </row>
    <row r="12" spans="2:11" ht="30" x14ac:dyDescent="0.3">
      <c r="B12" s="34"/>
      <c r="C12" s="34"/>
      <c r="D12" s="34"/>
      <c r="E12" s="75"/>
      <c r="F12" s="82"/>
      <c r="G12" s="88" t="s">
        <v>172</v>
      </c>
      <c r="H12" s="36">
        <f t="shared" si="1"/>
        <v>17.760000000000002</v>
      </c>
      <c r="I12" s="34"/>
      <c r="J12" s="34"/>
      <c r="K12" s="34"/>
    </row>
    <row r="13" spans="2:11" ht="30" x14ac:dyDescent="0.3">
      <c r="B13" s="52" t="s">
        <v>150</v>
      </c>
      <c r="C13" s="36">
        <f>C8</f>
        <v>5212.5266666666657</v>
      </c>
      <c r="D13" s="34"/>
      <c r="E13" s="75"/>
      <c r="F13" s="82"/>
      <c r="G13" s="88" t="s">
        <v>40</v>
      </c>
      <c r="H13" s="36">
        <f t="shared" si="1"/>
        <v>63.556666666666665</v>
      </c>
      <c r="I13" s="34"/>
      <c r="J13" s="34"/>
      <c r="K13" s="34"/>
    </row>
    <row r="14" spans="2:11" ht="30" x14ac:dyDescent="0.3">
      <c r="B14" s="52" t="s">
        <v>151</v>
      </c>
      <c r="C14" s="36">
        <f>H59</f>
        <v>8065.4299999999994</v>
      </c>
      <c r="D14" s="34"/>
      <c r="E14" s="75"/>
      <c r="F14" s="82"/>
      <c r="G14" s="88" t="s">
        <v>63</v>
      </c>
      <c r="H14" s="36">
        <f t="shared" si="1"/>
        <v>79.64</v>
      </c>
      <c r="I14" s="34"/>
      <c r="J14" s="34"/>
      <c r="K14" s="34"/>
    </row>
    <row r="15" spans="2:11" ht="30" x14ac:dyDescent="0.3">
      <c r="B15" s="52" t="s">
        <v>152</v>
      </c>
      <c r="C15" s="43">
        <f>C13-C14</f>
        <v>-2852.9033333333336</v>
      </c>
      <c r="D15" s="34"/>
      <c r="E15" s="75"/>
      <c r="F15" s="82"/>
      <c r="G15" s="88" t="s">
        <v>41</v>
      </c>
      <c r="H15" s="36">
        <f t="shared" si="1"/>
        <v>104.39666666666666</v>
      </c>
      <c r="I15" s="34"/>
      <c r="J15" s="34"/>
      <c r="K15" s="34"/>
    </row>
    <row r="16" spans="2:11" ht="30" x14ac:dyDescent="0.3">
      <c r="B16" s="34"/>
      <c r="C16" s="34"/>
      <c r="D16" s="34"/>
      <c r="E16" s="76" t="str">
        <f>"BANK FEES: $"&amp;ROUND(H16, 2)</f>
        <v>BANK FEES: $44</v>
      </c>
      <c r="F16" s="84"/>
      <c r="G16" s="89" t="s">
        <v>45</v>
      </c>
      <c r="H16" s="36">
        <f t="shared" si="1"/>
        <v>44</v>
      </c>
      <c r="I16" s="34"/>
      <c r="J16" s="34"/>
      <c r="K16" s="34"/>
    </row>
    <row r="17" spans="2:11" ht="60" x14ac:dyDescent="0.3">
      <c r="B17" s="34"/>
      <c r="C17" s="34"/>
      <c r="D17" s="34"/>
      <c r="E17" s="73" t="str">
        <f>"CREDIT CARDS:  $"&amp;ROUND(SUM(H17:H21), 2)</f>
        <v>CREDIT CARDS:  $613.41</v>
      </c>
      <c r="F17" s="32" t="s">
        <v>308</v>
      </c>
      <c r="G17" s="35" t="s">
        <v>104</v>
      </c>
      <c r="H17" s="36">
        <f t="shared" si="1"/>
        <v>438</v>
      </c>
      <c r="I17" s="34"/>
      <c r="J17" s="34"/>
      <c r="K17" s="34"/>
    </row>
    <row r="18" spans="2:11" ht="30" x14ac:dyDescent="0.3">
      <c r="B18" s="34"/>
      <c r="C18" s="34"/>
      <c r="D18" s="34"/>
      <c r="E18" s="73"/>
      <c r="F18" s="79"/>
      <c r="G18" s="35" t="s">
        <v>321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73"/>
      <c r="F19" s="79" t="s">
        <v>318</v>
      </c>
      <c r="G19" s="35" t="s">
        <v>314</v>
      </c>
      <c r="H19" s="36">
        <f t="shared" si="1"/>
        <v>33.333333333333336</v>
      </c>
      <c r="I19" s="34"/>
      <c r="J19" s="34"/>
      <c r="K19" s="34"/>
    </row>
    <row r="20" spans="2:11" ht="30" x14ac:dyDescent="0.3">
      <c r="B20" s="34"/>
      <c r="C20" s="34"/>
      <c r="D20" s="34"/>
      <c r="E20" s="73"/>
      <c r="F20" s="79" t="s">
        <v>317</v>
      </c>
      <c r="G20" s="35" t="s">
        <v>320</v>
      </c>
      <c r="H20" s="36">
        <f t="shared" si="1"/>
        <v>115.40666666666668</v>
      </c>
      <c r="I20" s="34"/>
      <c r="J20" s="34"/>
      <c r="K20" s="34"/>
    </row>
    <row r="21" spans="2:11" ht="30" x14ac:dyDescent="0.3">
      <c r="B21" s="34"/>
      <c r="C21" s="34"/>
      <c r="D21" s="34"/>
      <c r="E21" s="73"/>
      <c r="F21" s="79" t="s">
        <v>316</v>
      </c>
      <c r="G21" s="35" t="s">
        <v>70</v>
      </c>
      <c r="H21" s="36">
        <f t="shared" si="1"/>
        <v>26.666666666666668</v>
      </c>
      <c r="I21" s="34"/>
      <c r="J21" s="34"/>
      <c r="K21" s="34"/>
    </row>
    <row r="22" spans="2:11" ht="30" x14ac:dyDescent="0.3">
      <c r="B22" s="34"/>
      <c r="C22" s="34"/>
      <c r="D22" s="34"/>
      <c r="E22" s="73"/>
      <c r="F22" s="79" t="s">
        <v>316</v>
      </c>
      <c r="G22" s="35" t="s">
        <v>106</v>
      </c>
      <c r="H22" s="36">
        <f t="shared" si="1"/>
        <v>40</v>
      </c>
      <c r="I22" s="34"/>
      <c r="J22" s="34"/>
      <c r="K22" s="34"/>
    </row>
    <row r="23" spans="2:11" ht="60" x14ac:dyDescent="0.3">
      <c r="B23" s="34"/>
      <c r="C23" s="34"/>
      <c r="D23" s="34"/>
      <c r="E23" s="75" t="str">
        <f>"FOOD IN/OUT: $"&amp; ROUND(SUM(H23:H25), 2)</f>
        <v>FOOD IN/OUT: $905.06</v>
      </c>
      <c r="F23" s="82"/>
      <c r="G23" s="88" t="s">
        <v>64</v>
      </c>
      <c r="H23" s="36">
        <f t="shared" si="1"/>
        <v>681.34666666666669</v>
      </c>
      <c r="I23" s="34"/>
      <c r="J23" s="34"/>
      <c r="K23" s="34"/>
    </row>
    <row r="24" spans="2:11" ht="30" x14ac:dyDescent="0.3">
      <c r="B24" s="34"/>
      <c r="C24" s="34"/>
      <c r="D24" s="34"/>
      <c r="E24" s="75"/>
      <c r="F24" s="82"/>
      <c r="G24" s="88" t="s">
        <v>22</v>
      </c>
      <c r="H24" s="36">
        <f t="shared" si="1"/>
        <v>198.84333333333336</v>
      </c>
      <c r="I24" s="34"/>
      <c r="J24" s="34"/>
      <c r="K24" s="34"/>
    </row>
    <row r="25" spans="2:11" ht="30" x14ac:dyDescent="0.3">
      <c r="B25" s="34"/>
      <c r="C25" s="34"/>
      <c r="D25" s="34"/>
      <c r="E25" s="75"/>
      <c r="F25" s="82"/>
      <c r="G25" s="88" t="s">
        <v>173</v>
      </c>
      <c r="H25" s="36">
        <f t="shared" si="1"/>
        <v>24.873333333333335</v>
      </c>
      <c r="I25" s="34"/>
      <c r="J25" s="34"/>
      <c r="K25" s="34"/>
    </row>
    <row r="26" spans="2:11" ht="60" x14ac:dyDescent="0.3">
      <c r="B26" s="34"/>
      <c r="C26" s="34"/>
      <c r="D26" s="34"/>
      <c r="E26" s="73" t="str">
        <f>"TRANSPORTATION:  $"&amp;SUM(H26:H29)</f>
        <v>TRANSPORTATION:  $272.36</v>
      </c>
      <c r="F26" s="85"/>
      <c r="G26" s="42" t="s">
        <v>54</v>
      </c>
      <c r="H26" s="36">
        <f t="shared" si="1"/>
        <v>156.16666666666666</v>
      </c>
      <c r="I26" s="34"/>
      <c r="J26" s="34"/>
      <c r="K26" s="34"/>
    </row>
    <row r="27" spans="2:11" ht="30" x14ac:dyDescent="0.3">
      <c r="B27" s="34"/>
      <c r="C27" s="34"/>
      <c r="D27" s="34"/>
      <c r="E27" s="73"/>
      <c r="F27" s="79"/>
      <c r="G27" s="35" t="s">
        <v>110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73"/>
      <c r="F28" s="79"/>
      <c r="G28" s="35" t="s">
        <v>26</v>
      </c>
      <c r="H28" s="36">
        <f t="shared" si="1"/>
        <v>116.19333333333333</v>
      </c>
      <c r="I28" s="34"/>
      <c r="J28" s="34"/>
      <c r="K28" s="34"/>
    </row>
    <row r="29" spans="2:11" ht="30" x14ac:dyDescent="0.3">
      <c r="B29" s="34"/>
      <c r="C29" s="34"/>
      <c r="D29" s="34"/>
      <c r="E29" s="73"/>
      <c r="F29" s="79"/>
      <c r="G29" s="35" t="s">
        <v>112</v>
      </c>
      <c r="H29" s="36">
        <f t="shared" si="1"/>
        <v>0</v>
      </c>
      <c r="I29" s="34"/>
      <c r="J29" s="34"/>
      <c r="K29" s="34"/>
    </row>
    <row r="30" spans="2:11" ht="90" x14ac:dyDescent="0.3">
      <c r="B30" s="34"/>
      <c r="C30" s="34"/>
      <c r="D30" s="34"/>
      <c r="E30" s="75" t="str">
        <f>"SELF CARE:  $"&amp;SUM(H30:H34)</f>
        <v>SELF CARE:  $535.506666666667</v>
      </c>
      <c r="F30" s="83"/>
      <c r="G30" s="88" t="s">
        <v>113</v>
      </c>
      <c r="H30" s="36">
        <f t="shared" si="1"/>
        <v>109.16666666666667</v>
      </c>
      <c r="I30" s="34"/>
      <c r="J30" s="34"/>
      <c r="K30" s="34"/>
    </row>
    <row r="31" spans="2:11" ht="30" x14ac:dyDescent="0.3">
      <c r="B31" s="34"/>
      <c r="C31" s="34"/>
      <c r="D31" s="34"/>
      <c r="E31" s="75"/>
      <c r="F31" s="82"/>
      <c r="G31" s="88" t="s">
        <v>114</v>
      </c>
      <c r="H31" s="36">
        <f t="shared" si="1"/>
        <v>308.27333333333337</v>
      </c>
      <c r="I31" s="34"/>
      <c r="J31" s="34"/>
      <c r="K31" s="34"/>
    </row>
    <row r="32" spans="2:11" ht="30" x14ac:dyDescent="0.3">
      <c r="B32" s="34"/>
      <c r="C32" s="34"/>
      <c r="D32" s="34"/>
      <c r="E32" s="75"/>
      <c r="F32" s="82"/>
      <c r="G32" s="88" t="s">
        <v>115</v>
      </c>
      <c r="H32" s="36">
        <f t="shared" si="1"/>
        <v>111.41333333333334</v>
      </c>
      <c r="I32" s="34"/>
      <c r="J32" s="34"/>
      <c r="K32" s="34"/>
    </row>
    <row r="33" spans="2:11" ht="30" x14ac:dyDescent="0.3">
      <c r="B33" s="34"/>
      <c r="C33" s="34"/>
      <c r="D33" s="34"/>
      <c r="E33" s="75"/>
      <c r="F33" s="82"/>
      <c r="G33" s="88" t="s">
        <v>19</v>
      </c>
      <c r="H33" s="36">
        <f t="shared" si="1"/>
        <v>6.6533333333333333</v>
      </c>
      <c r="I33" s="34"/>
      <c r="J33" s="34"/>
      <c r="K33" s="34"/>
    </row>
    <row r="34" spans="2:11" ht="30" x14ac:dyDescent="0.3">
      <c r="B34" s="34"/>
      <c r="C34" s="34"/>
      <c r="D34" s="34"/>
      <c r="E34" s="75"/>
      <c r="F34" s="82"/>
      <c r="G34" s="88" t="s">
        <v>94</v>
      </c>
      <c r="H34" s="36">
        <f t="shared" ref="H34:H56" si="2"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73" t="str">
        <f>"OLD DEBTS:  $"&amp;SUM(H35:H36)</f>
        <v>OLD DEBTS:  $0</v>
      </c>
      <c r="F35" s="79"/>
      <c r="G35" s="35" t="s">
        <v>101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73"/>
      <c r="F36" s="79"/>
      <c r="G36" s="35" t="s">
        <v>102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7" t="str">
        <f>"TAX DECUCTIBLE:  $"&amp;ROUND(SUM(H37:H52), 2)</f>
        <v>TAX DECUCTIBLE:  $1845.36</v>
      </c>
      <c r="F37" s="86"/>
      <c r="G37" s="90" t="s">
        <v>42</v>
      </c>
      <c r="H37" s="36">
        <f t="shared" si="2"/>
        <v>73.72999999999999</v>
      </c>
      <c r="I37" s="34"/>
      <c r="J37" s="34"/>
      <c r="K37" s="34"/>
    </row>
    <row r="38" spans="2:11" ht="30" x14ac:dyDescent="0.3">
      <c r="B38" s="34"/>
      <c r="C38" s="34"/>
      <c r="D38" s="34"/>
      <c r="E38" s="77"/>
      <c r="F38" s="86" t="s">
        <v>302</v>
      </c>
      <c r="G38" s="90" t="s">
        <v>87</v>
      </c>
      <c r="H38" s="36">
        <f t="shared" si="2"/>
        <v>127.81666666666668</v>
      </c>
      <c r="I38" s="34"/>
      <c r="J38" s="34"/>
      <c r="K38" s="34"/>
    </row>
    <row r="39" spans="2:11" ht="90" x14ac:dyDescent="0.3">
      <c r="B39" s="34"/>
      <c r="C39" s="34"/>
      <c r="D39" s="34"/>
      <c r="E39" s="77" t="str">
        <f>"HOME OFFICE:  $"&amp;SUM(H39:H44)</f>
        <v>HOME OFFICE:  $1465.23333333333</v>
      </c>
      <c r="F39" s="86"/>
      <c r="G39" s="90" t="s">
        <v>1</v>
      </c>
      <c r="H39" s="36">
        <f t="shared" si="2"/>
        <v>683.26666666666677</v>
      </c>
      <c r="I39" s="34"/>
      <c r="J39" s="34"/>
      <c r="K39" s="34"/>
    </row>
    <row r="40" spans="2:11" ht="30" x14ac:dyDescent="0.3">
      <c r="B40" s="34"/>
      <c r="C40" s="34"/>
      <c r="D40" s="34"/>
      <c r="E40" s="77"/>
      <c r="F40" s="86"/>
      <c r="G40" s="90" t="s">
        <v>95</v>
      </c>
      <c r="H40" s="36">
        <f t="shared" si="2"/>
        <v>10</v>
      </c>
      <c r="I40" s="34"/>
      <c r="J40" s="34"/>
      <c r="K40" s="34"/>
    </row>
    <row r="41" spans="2:11" ht="30" x14ac:dyDescent="0.3">
      <c r="B41" s="34"/>
      <c r="C41" s="34"/>
      <c r="D41" s="34"/>
      <c r="E41" s="77"/>
      <c r="F41" s="86"/>
      <c r="G41" s="90" t="s">
        <v>96</v>
      </c>
      <c r="H41" s="36">
        <f t="shared" si="2"/>
        <v>15</v>
      </c>
      <c r="I41" s="34"/>
      <c r="J41" s="34"/>
      <c r="K41" s="34"/>
    </row>
    <row r="42" spans="2:11" ht="30" x14ac:dyDescent="0.3">
      <c r="B42" s="34"/>
      <c r="C42" s="34"/>
      <c r="D42" s="34"/>
      <c r="E42" s="77"/>
      <c r="F42" s="86"/>
      <c r="G42" s="90" t="s">
        <v>27</v>
      </c>
      <c r="H42" s="36">
        <f t="shared" si="2"/>
        <v>601.27666666666664</v>
      </c>
      <c r="I42" s="34"/>
      <c r="J42" s="34"/>
      <c r="K42" s="34"/>
    </row>
    <row r="43" spans="2:11" ht="30" x14ac:dyDescent="0.3">
      <c r="B43" s="34"/>
      <c r="C43" s="34"/>
      <c r="D43" s="34"/>
      <c r="E43" s="77"/>
      <c r="F43" s="86"/>
      <c r="G43" s="90" t="s">
        <v>0</v>
      </c>
      <c r="H43" s="36">
        <f t="shared" si="2"/>
        <v>130.87333333333333</v>
      </c>
      <c r="I43" s="34"/>
      <c r="J43" s="34"/>
      <c r="K43" s="34"/>
    </row>
    <row r="44" spans="2:11" ht="30" x14ac:dyDescent="0.3">
      <c r="B44" s="34"/>
      <c r="C44" s="34"/>
      <c r="D44" s="34"/>
      <c r="E44" s="77"/>
      <c r="F44" s="87"/>
      <c r="G44" s="90" t="s">
        <v>175</v>
      </c>
      <c r="H44" s="36">
        <f t="shared" si="2"/>
        <v>24.816666666666666</v>
      </c>
      <c r="I44" s="34"/>
      <c r="J44" s="34"/>
      <c r="K44" s="34"/>
    </row>
    <row r="45" spans="2:11" ht="30" x14ac:dyDescent="0.3">
      <c r="B45" s="34"/>
      <c r="C45" s="34"/>
      <c r="D45" s="34"/>
      <c r="E45" s="77"/>
      <c r="F45" s="86"/>
      <c r="G45" s="90" t="s">
        <v>98</v>
      </c>
      <c r="H45" s="36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7" t="str">
        <f>"BUSINESS SUBSCRIPTIONS &amp; TRAVEL:  $"&amp;ROUND(SUM(H45:H47), 2)</f>
        <v>BUSINESS SUBSCRIPTIONS &amp; TRAVEL:  $30.35</v>
      </c>
      <c r="F46" s="86"/>
      <c r="G46" s="90" t="s">
        <v>23</v>
      </c>
      <c r="H46" s="36">
        <f t="shared" si="2"/>
        <v>22.236666666666668</v>
      </c>
      <c r="I46" s="34"/>
      <c r="J46" s="34"/>
      <c r="K46" s="34"/>
    </row>
    <row r="47" spans="2:11" ht="30" x14ac:dyDescent="0.3">
      <c r="B47" s="34"/>
      <c r="C47" s="34"/>
      <c r="D47" s="34"/>
      <c r="E47" s="77"/>
      <c r="F47" s="86"/>
      <c r="G47" s="90" t="s">
        <v>100</v>
      </c>
      <c r="H47" s="36">
        <f t="shared" si="2"/>
        <v>8.1166666666666671</v>
      </c>
      <c r="I47" s="34"/>
      <c r="J47" s="34"/>
      <c r="K47" s="34"/>
    </row>
    <row r="48" spans="2:11" ht="90" x14ac:dyDescent="0.3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31</v>
      </c>
      <c r="H48" s="36">
        <f t="shared" si="2"/>
        <v>111.12</v>
      </c>
      <c r="I48" s="34"/>
      <c r="J48" s="34"/>
      <c r="K48" s="34"/>
    </row>
    <row r="49" spans="2:11" ht="30" x14ac:dyDescent="0.3">
      <c r="B49" s="34"/>
      <c r="C49" s="34"/>
      <c r="D49" s="34"/>
      <c r="E49" s="77"/>
      <c r="F49" s="86"/>
      <c r="G49" s="90" t="s">
        <v>127</v>
      </c>
      <c r="H49" s="36">
        <f t="shared" si="2"/>
        <v>34.770000000000003</v>
      </c>
      <c r="I49" s="34"/>
      <c r="J49" s="34"/>
      <c r="K49" s="34"/>
    </row>
    <row r="50" spans="2:11" ht="30" x14ac:dyDescent="0.3">
      <c r="B50" s="34"/>
      <c r="C50" s="34"/>
      <c r="D50" s="34"/>
      <c r="E50" s="77"/>
      <c r="F50" s="86"/>
      <c r="G50" s="90" t="s">
        <v>116</v>
      </c>
      <c r="H50" s="36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7"/>
      <c r="F51" s="86"/>
      <c r="G51" s="90" t="s">
        <v>117</v>
      </c>
      <c r="H51" s="36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7"/>
      <c r="F52" s="86"/>
      <c r="G52" s="90" t="s">
        <v>103</v>
      </c>
      <c r="H52" s="36">
        <f t="shared" si="2"/>
        <v>2.3333333333333335</v>
      </c>
      <c r="I52" s="34"/>
      <c r="J52" s="34"/>
      <c r="K52" s="34"/>
    </row>
    <row r="53" spans="2:11" ht="30" x14ac:dyDescent="0.3">
      <c r="B53" s="34"/>
      <c r="C53" s="34"/>
      <c r="D53" s="34"/>
      <c r="E53" s="77"/>
      <c r="F53" s="86"/>
      <c r="G53" s="90" t="s">
        <v>322</v>
      </c>
      <c r="H53" s="36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48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73"/>
      <c r="F55" s="79"/>
      <c r="G55" s="42" t="s">
        <v>49</v>
      </c>
      <c r="H55" s="36">
        <f t="shared" si="2"/>
        <v>235.57666666666668</v>
      </c>
      <c r="I55" s="34"/>
      <c r="J55" s="34"/>
      <c r="K55" s="34"/>
    </row>
    <row r="56" spans="2:11" ht="30" x14ac:dyDescent="0.3">
      <c r="B56" s="34"/>
      <c r="C56" s="34"/>
      <c r="D56" s="34"/>
      <c r="E56" s="73"/>
      <c r="F56" s="79"/>
      <c r="G56" s="42" t="s">
        <v>50</v>
      </c>
      <c r="H56" s="36">
        <f t="shared" si="2"/>
        <v>1537.51</v>
      </c>
      <c r="I56" s="34"/>
      <c r="J56" s="34"/>
      <c r="K56" s="34"/>
    </row>
    <row r="57" spans="2:11" ht="30" x14ac:dyDescent="0.3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 x14ac:dyDescent="0.3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 x14ac:dyDescent="0.3">
      <c r="B59" s="34"/>
      <c r="C59" s="34"/>
      <c r="D59" s="34"/>
      <c r="E59" s="73"/>
      <c r="F59" s="32"/>
      <c r="G59" s="30" t="s">
        <v>30</v>
      </c>
      <c r="H59" s="43">
        <f>SUM(H2:H58)</f>
        <v>8065.4299999999994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2018-05-03T21:01:09Z</dcterms:modified>
</cp:coreProperties>
</file>
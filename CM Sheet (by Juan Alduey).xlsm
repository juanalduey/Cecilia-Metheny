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9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2_ncr:500000_{2BDA3A45-864B-A244-9C21-98B31F385987}" xr6:coauthVersionLast="31" xr6:coauthVersionMax="31" xr10:uidLastSave="{00000000-0000-0000-0000-000000000000}"/>
  <bookViews>
    <workbookView xWindow="640" yWindow="640" windowWidth="20340" windowHeight="16140" tabRatio="500" activeTab="5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Petty Cash Envelope" sheetId="5" r:id="rId5"/>
    <sheet name="TimeLog" sheetId="6" r:id="rId6"/>
  </sheets>
  <functionGroups builtInGroupCount="19"/>
  <definedNames>
    <definedName name="_xlnm._FilterDatabase" localSheetId="1" hidden="1">Expenses!$A$1:$D$278</definedName>
    <definedName name="_xlnm._FilterDatabase" localSheetId="0" hidden="1">Income!$A$1:$D$42</definedName>
    <definedName name="_xlnm._FilterDatabase" localSheetId="4" hidden="1">'Petty Cash Envelope'!$A$1:$C$15</definedName>
    <definedName name="_xlnm._FilterDatabase" localSheetId="5" hidden="1">TimeLog!$A$1:$D$16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>'Categories and Stats'!$G$2:$G$60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5">TimeLog!$A$1:$E$18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D18" i="6" l="1"/>
  <c r="D17" i="6" l="1"/>
  <c r="D16" i="6" l="1"/>
  <c r="D8" i="6"/>
  <c r="D7" i="6"/>
  <c r="D6" i="6"/>
  <c r="D5" i="6"/>
  <c r="D4" i="6"/>
  <c r="D3" i="6"/>
  <c r="D2" i="6"/>
  <c r="D9" i="6"/>
  <c r="D15" i="6"/>
  <c r="D11" i="6" l="1"/>
  <c r="D12" i="6"/>
  <c r="D13" i="6"/>
  <c r="D14" i="6"/>
  <c r="D10" i="6"/>
  <c r="C115" i="1" l="1"/>
  <c r="C167" i="1"/>
  <c r="H42" i="3" l="1"/>
  <c r="H26" i="3"/>
  <c r="H13" i="3"/>
  <c r="H53" i="3" l="1"/>
  <c r="H40" i="3"/>
  <c r="H2" i="3"/>
  <c r="H3" i="3"/>
  <c r="H4" i="3"/>
  <c r="H5" i="3"/>
  <c r="H6" i="3"/>
  <c r="H7" i="3"/>
  <c r="H8" i="3"/>
  <c r="H9" i="3"/>
  <c r="H10" i="3"/>
  <c r="H11" i="3"/>
  <c r="H12" i="3"/>
  <c r="H14" i="3"/>
  <c r="H15" i="3"/>
  <c r="H16" i="3"/>
  <c r="H17" i="3"/>
  <c r="H18" i="3"/>
  <c r="H19" i="3"/>
  <c r="H20" i="3"/>
  <c r="H21" i="3"/>
  <c r="H22" i="3"/>
  <c r="H23" i="3"/>
  <c r="H24" i="3"/>
  <c r="H25" i="3"/>
  <c r="H28" i="3"/>
  <c r="H29" i="3"/>
  <c r="H30" i="3"/>
  <c r="H31" i="3"/>
  <c r="H32" i="3"/>
  <c r="H33" i="3"/>
  <c r="H34" i="3"/>
  <c r="H35" i="3"/>
  <c r="H36" i="3"/>
  <c r="H37" i="3"/>
  <c r="H38" i="3"/>
  <c r="H39" i="3"/>
  <c r="H41" i="3"/>
  <c r="H43" i="3"/>
  <c r="H44" i="3"/>
  <c r="H45" i="3"/>
  <c r="H46" i="3"/>
  <c r="H47" i="3"/>
  <c r="H48" i="3"/>
  <c r="H49" i="3"/>
  <c r="H50" i="3"/>
  <c r="H51" i="3"/>
  <c r="H52" i="3"/>
  <c r="H54" i="3"/>
  <c r="H55" i="3"/>
  <c r="H56" i="3"/>
  <c r="H57" i="3"/>
  <c r="H58" i="3"/>
  <c r="H59" i="3"/>
  <c r="C2" i="3"/>
  <c r="C3" i="3"/>
  <c r="C4" i="3"/>
  <c r="C5" i="3"/>
  <c r="C6" i="3"/>
  <c r="C7" i="3"/>
  <c r="H27" i="3"/>
  <c r="F8" i="5"/>
  <c r="E25" i="3" l="1"/>
  <c r="E2" i="3"/>
  <c r="E10" i="3"/>
  <c r="E32" i="3"/>
  <c r="E18" i="3"/>
  <c r="E52" i="3"/>
  <c r="E50" i="3"/>
  <c r="E43" i="3"/>
  <c r="E42" i="3"/>
  <c r="E37" i="3"/>
  <c r="E57" i="3"/>
  <c r="C9" i="3"/>
  <c r="C13" i="3" s="1"/>
  <c r="H62" i="3"/>
  <c r="C14" i="3" s="1"/>
  <c r="E28" i="3"/>
  <c r="C15" i="3" l="1"/>
</calcChain>
</file>

<file path=xl/sharedStrings.xml><?xml version="1.0" encoding="utf-8"?>
<sst xmlns="http://schemas.openxmlformats.org/spreadsheetml/2006/main" count="652" uniqueCount="325">
  <si>
    <t>Networking</t>
    <phoneticPr fontId="7" type="noConversion"/>
  </si>
  <si>
    <t>Housekeeper</t>
    <phoneticPr fontId="7" type="noConversion"/>
  </si>
  <si>
    <t>Consultant</t>
    <phoneticPr fontId="7" type="noConversion"/>
  </si>
  <si>
    <t>Computer guy</t>
    <phoneticPr fontId="7" type="noConversion"/>
  </si>
  <si>
    <t>Social Security</t>
  </si>
  <si>
    <t>CeMe</t>
    <phoneticPr fontId="7" type="noConversion"/>
  </si>
  <si>
    <t>The New School</t>
  </si>
  <si>
    <t>The New School</t>
    <phoneticPr fontId="7" type="noConversion"/>
  </si>
  <si>
    <t>Airbnb</t>
    <phoneticPr fontId="7" type="noConversion"/>
  </si>
  <si>
    <t>Social Security</t>
    <phoneticPr fontId="7" type="noConversion"/>
  </si>
  <si>
    <t>Date</t>
    <phoneticPr fontId="7" type="noConversion"/>
  </si>
  <si>
    <t>Income Category</t>
    <phoneticPr fontId="7" type="noConversion"/>
  </si>
  <si>
    <t xml:space="preserve">Amount </t>
    <phoneticPr fontId="7" type="noConversion"/>
  </si>
  <si>
    <t>Notes</t>
    <phoneticPr fontId="7" type="noConversion"/>
  </si>
  <si>
    <t>From</t>
    <phoneticPr fontId="7" type="noConversion"/>
  </si>
  <si>
    <t>Expense Categories</t>
    <phoneticPr fontId="7" type="noConversion"/>
  </si>
  <si>
    <t>Income Categories</t>
    <phoneticPr fontId="7" type="noConversion"/>
  </si>
  <si>
    <t>Amount</t>
    <phoneticPr fontId="7" type="noConversion"/>
  </si>
  <si>
    <t>3rd Wed of the month</t>
    <phoneticPr fontId="7" type="noConversion"/>
  </si>
  <si>
    <t>Taxi</t>
  </si>
  <si>
    <t>Laundry</t>
  </si>
  <si>
    <t>Books and Subscriptions</t>
  </si>
  <si>
    <t>Entertainment Subscription</t>
  </si>
  <si>
    <t>Entertainment Subscription</t>
    <phoneticPr fontId="7" type="noConversion"/>
  </si>
  <si>
    <t>Food Out</t>
  </si>
  <si>
    <t>Food Out</t>
    <phoneticPr fontId="7" type="noConversion"/>
  </si>
  <si>
    <t>Books and Subscriptions</t>
    <phoneticPr fontId="7" type="noConversion"/>
  </si>
  <si>
    <t>Life Insurance (AARP)</t>
  </si>
  <si>
    <t>Grocery Store</t>
  </si>
  <si>
    <t>Taxi</t>
    <phoneticPr fontId="7" type="noConversion"/>
  </si>
  <si>
    <t>Balance</t>
    <phoneticPr fontId="7" type="noConversion"/>
  </si>
  <si>
    <t>Date</t>
    <phoneticPr fontId="7" type="noConversion"/>
  </si>
  <si>
    <t>Amount</t>
    <phoneticPr fontId="7" type="noConversion"/>
  </si>
  <si>
    <t>Computer</t>
    <phoneticPr fontId="7" type="noConversion"/>
  </si>
  <si>
    <t>New MacBook Air</t>
    <phoneticPr fontId="7" type="noConversion"/>
  </si>
  <si>
    <t>Juan</t>
    <phoneticPr fontId="7" type="noConversion"/>
  </si>
  <si>
    <t>LM to CM refund</t>
    <phoneticPr fontId="7" type="noConversion"/>
  </si>
  <si>
    <t>TOTAL</t>
    <phoneticPr fontId="7" type="noConversion"/>
  </si>
  <si>
    <t>Medical</t>
    <phoneticPr fontId="7" type="noConversion"/>
  </si>
  <si>
    <t>Amount</t>
    <phoneticPr fontId="7" type="noConversion"/>
  </si>
  <si>
    <t>To</t>
    <phoneticPr fontId="7" type="noConversion"/>
  </si>
  <si>
    <t>Rent</t>
    <phoneticPr fontId="7" type="noConversion"/>
  </si>
  <si>
    <t>Gas Electric</t>
    <phoneticPr fontId="7" type="noConversion"/>
  </si>
  <si>
    <t>Storage</t>
    <phoneticPr fontId="7" type="noConversion"/>
  </si>
  <si>
    <t>Cleaning Supplies</t>
    <phoneticPr fontId="7" type="noConversion"/>
  </si>
  <si>
    <t>Laundry</t>
    <phoneticPr fontId="7" type="noConversion"/>
  </si>
  <si>
    <t>Maintenance Repair</t>
    <phoneticPr fontId="7" type="noConversion"/>
  </si>
  <si>
    <t>Housekeeper</t>
    <phoneticPr fontId="7" type="noConversion"/>
  </si>
  <si>
    <t>Gardening</t>
    <phoneticPr fontId="7" type="noConversion"/>
  </si>
  <si>
    <t>Household Furnishings</t>
    <phoneticPr fontId="7" type="noConversion"/>
  </si>
  <si>
    <t>Office Supplies</t>
    <phoneticPr fontId="7" type="noConversion"/>
  </si>
  <si>
    <t>Computer</t>
    <phoneticPr fontId="7" type="noConversion"/>
  </si>
  <si>
    <t xml:space="preserve"> </t>
    <phoneticPr fontId="7" type="noConversion"/>
  </si>
  <si>
    <t>Bank Fee</t>
    <phoneticPr fontId="7" type="noConversion"/>
  </si>
  <si>
    <t>Overdraft</t>
    <phoneticPr fontId="7" type="noConversion"/>
  </si>
  <si>
    <t>Cablevision</t>
    <phoneticPr fontId="7" type="noConversion"/>
  </si>
  <si>
    <t>New York State Tax</t>
    <phoneticPr fontId="7" type="noConversion"/>
  </si>
  <si>
    <t>New Jersey State Tax</t>
    <phoneticPr fontId="7" type="noConversion"/>
  </si>
  <si>
    <t>Federal Taxes</t>
    <phoneticPr fontId="7" type="noConversion"/>
  </si>
  <si>
    <t>Credit One MC4850</t>
  </si>
  <si>
    <t>Computer</t>
  </si>
  <si>
    <t>Quickbooks</t>
    <phoneticPr fontId="7" type="noConversion"/>
  </si>
  <si>
    <t>Public Transit</t>
    <phoneticPr fontId="7" type="noConversion"/>
  </si>
  <si>
    <t>Regular NY Trips</t>
    <phoneticPr fontId="7" type="noConversion"/>
  </si>
  <si>
    <t>Barclay #3965</t>
  </si>
  <si>
    <t>Life Insurance (AARP)</t>
    <phoneticPr fontId="7" type="noConversion"/>
  </si>
  <si>
    <t>Acorn TV</t>
    <phoneticPr fontId="7" type="noConversion"/>
  </si>
  <si>
    <t>Clothes</t>
  </si>
  <si>
    <t>NJT</t>
    <phoneticPr fontId="7" type="noConversion"/>
  </si>
  <si>
    <t>Antonio Fermin</t>
    <phoneticPr fontId="7" type="noConversion"/>
  </si>
  <si>
    <t>Medical</t>
  </si>
  <si>
    <t>Prescription</t>
    <phoneticPr fontId="7" type="noConversion"/>
  </si>
  <si>
    <t>CM to LM</t>
    <phoneticPr fontId="7" type="noConversion"/>
  </si>
  <si>
    <t>for Rent</t>
    <phoneticPr fontId="7" type="noConversion"/>
  </si>
  <si>
    <t>Lucille Metheny</t>
  </si>
  <si>
    <t>Lucille Metheny</t>
    <phoneticPr fontId="7" type="noConversion"/>
  </si>
  <si>
    <t>for Juan Alduey</t>
    <phoneticPr fontId="7" type="noConversion"/>
  </si>
  <si>
    <t>Grocery Store</t>
    <phoneticPr fontId="7" type="noConversion"/>
  </si>
  <si>
    <t>for Groceries</t>
    <phoneticPr fontId="7" type="noConversion"/>
  </si>
  <si>
    <t>Lucille Metheny</t>
    <phoneticPr fontId="7" type="noConversion"/>
  </si>
  <si>
    <t>for clothes</t>
    <phoneticPr fontId="7" type="noConversion"/>
  </si>
  <si>
    <t>software</t>
    <phoneticPr fontId="7" type="noConversion"/>
  </si>
  <si>
    <t>TOTAL</t>
    <phoneticPr fontId="7" type="noConversion"/>
  </si>
  <si>
    <t>Credit One V7030</t>
    <phoneticPr fontId="7" type="noConversion"/>
  </si>
  <si>
    <t>Networking</t>
    <phoneticPr fontId="7" type="noConversion"/>
  </si>
  <si>
    <t>Exp</t>
    <phoneticPr fontId="7" type="noConversion"/>
  </si>
  <si>
    <t>CM Credit Cards</t>
    <phoneticPr fontId="7" type="noConversion"/>
  </si>
  <si>
    <t>LM Credit Cards</t>
    <phoneticPr fontId="7" type="noConversion"/>
  </si>
  <si>
    <t>Credit One V7030</t>
  </si>
  <si>
    <t>Chase Amazon v5475</t>
  </si>
  <si>
    <t>Cablevision</t>
  </si>
  <si>
    <t>Household Furnishings</t>
  </si>
  <si>
    <t>Bed Bath &amp; Beyond</t>
    <phoneticPr fontId="7" type="noConversion"/>
  </si>
  <si>
    <t>Withdrawal fee</t>
    <phoneticPr fontId="7" type="noConversion"/>
  </si>
  <si>
    <t>NYC Metrocard</t>
    <phoneticPr fontId="7" type="noConversion"/>
  </si>
  <si>
    <t>Apartment Insurance (State Farm)</t>
  </si>
  <si>
    <t>Google Cloud Service</t>
  </si>
  <si>
    <t>Public Transit</t>
  </si>
  <si>
    <t>Bank Interest</t>
  </si>
  <si>
    <t>Bank Interest</t>
    <phoneticPr fontId="7" type="noConversion"/>
  </si>
  <si>
    <t>Cell Phone</t>
  </si>
  <si>
    <t>Storage</t>
  </si>
  <si>
    <t>Gas Electric</t>
  </si>
  <si>
    <t>Bank Fee</t>
    <phoneticPr fontId="7" type="noConversion"/>
  </si>
  <si>
    <t>First Premier #3141</t>
  </si>
  <si>
    <t>First Premier</t>
  </si>
  <si>
    <t>Consultant</t>
    <phoneticPr fontId="7" type="noConversion"/>
  </si>
  <si>
    <t>Life Insurance (AARP)</t>
    <phoneticPr fontId="7" type="noConversion"/>
  </si>
  <si>
    <t>Apartment Insurance (State Farm)</t>
    <phoneticPr fontId="7" type="noConversion"/>
  </si>
  <si>
    <t>Yoga/Gym</t>
    <phoneticPr fontId="7" type="noConversion"/>
  </si>
  <si>
    <t>UAW Teacher's Union</t>
    <phoneticPr fontId="7" type="noConversion"/>
  </si>
  <si>
    <t>Google Cloud Service</t>
    <phoneticPr fontId="7" type="noConversion"/>
  </si>
  <si>
    <t>Go Daddy</t>
    <phoneticPr fontId="7" type="noConversion"/>
  </si>
  <si>
    <t>Juan's Travel Cost</t>
    <phoneticPr fontId="7" type="noConversion"/>
  </si>
  <si>
    <t>NY Times</t>
    <phoneticPr fontId="7" type="noConversion"/>
  </si>
  <si>
    <t>Books and Subscriptions</t>
    <phoneticPr fontId="7" type="noConversion"/>
  </si>
  <si>
    <t>Business Travel</t>
    <phoneticPr fontId="7" type="noConversion"/>
  </si>
  <si>
    <t>Patrick</t>
    <phoneticPr fontId="7" type="noConversion"/>
  </si>
  <si>
    <t>Fred Henry</t>
    <phoneticPr fontId="7" type="noConversion"/>
  </si>
  <si>
    <t>Terrace Kyle</t>
    <phoneticPr fontId="7" type="noConversion"/>
  </si>
  <si>
    <t>Robert Rich</t>
    <phoneticPr fontId="7" type="noConversion"/>
  </si>
  <si>
    <t>Donations</t>
    <phoneticPr fontId="7" type="noConversion"/>
  </si>
  <si>
    <t>Chase Amazon v5475</t>
    <phoneticPr fontId="7" type="noConversion"/>
  </si>
  <si>
    <t>Credit One V7030</t>
    <phoneticPr fontId="7" type="noConversion"/>
  </si>
  <si>
    <t>Credit One MC4850</t>
    <phoneticPr fontId="7" type="noConversion"/>
  </si>
  <si>
    <t>Barclay #3965</t>
    <phoneticPr fontId="7" type="noConversion"/>
  </si>
  <si>
    <t>First Premier #3141</t>
    <phoneticPr fontId="7" type="noConversion"/>
  </si>
  <si>
    <t>First Premier</t>
    <phoneticPr fontId="7" type="noConversion"/>
  </si>
  <si>
    <t>Food Out</t>
    <phoneticPr fontId="7" type="noConversion"/>
  </si>
  <si>
    <t>Grocery Store</t>
    <phoneticPr fontId="7" type="noConversion"/>
  </si>
  <si>
    <t>Public Transit</t>
    <phoneticPr fontId="7" type="noConversion"/>
  </si>
  <si>
    <t>Car Rental</t>
    <phoneticPr fontId="7" type="noConversion"/>
  </si>
  <si>
    <t>Taxi</t>
    <phoneticPr fontId="7" type="noConversion"/>
  </si>
  <si>
    <t>Travel</t>
    <phoneticPr fontId="7" type="noConversion"/>
  </si>
  <si>
    <t>Clothes</t>
    <phoneticPr fontId="7" type="noConversion"/>
  </si>
  <si>
    <t>Body Care</t>
    <phoneticPr fontId="7" type="noConversion"/>
  </si>
  <si>
    <t>Accessories</t>
    <phoneticPr fontId="7" type="noConversion"/>
  </si>
  <si>
    <t>United Health Insurance</t>
    <phoneticPr fontId="7" type="noConversion"/>
  </si>
  <si>
    <t>Long Term Health Care</t>
    <phoneticPr fontId="7" type="noConversion"/>
  </si>
  <si>
    <t>Travel</t>
  </si>
  <si>
    <t>for groceries and body care</t>
    <phoneticPr fontId="7" type="noConversion"/>
  </si>
  <si>
    <t>Design CeMe Research</t>
    <phoneticPr fontId="7" type="noConversion"/>
  </si>
  <si>
    <t>for CeMe design research</t>
    <phoneticPr fontId="7" type="noConversion"/>
  </si>
  <si>
    <t>for Parson's expense</t>
    <phoneticPr fontId="7" type="noConversion"/>
  </si>
  <si>
    <t>Accessories</t>
  </si>
  <si>
    <t>for Jewlery repair</t>
    <phoneticPr fontId="7" type="noConversion"/>
  </si>
  <si>
    <t>for Groceries (Wine)</t>
    <phoneticPr fontId="7" type="noConversion"/>
  </si>
  <si>
    <t>for Laundry</t>
    <phoneticPr fontId="7" type="noConversion"/>
  </si>
  <si>
    <t>Notes</t>
    <phoneticPr fontId="7" type="noConversion"/>
  </si>
  <si>
    <t>Over the counter (OTC)</t>
  </si>
  <si>
    <t>Over the counter (OTC)</t>
    <phoneticPr fontId="7" type="noConversion"/>
  </si>
  <si>
    <t>for Groceries and OTC</t>
    <phoneticPr fontId="7" type="noConversion"/>
  </si>
  <si>
    <t>Office Supplies</t>
  </si>
  <si>
    <t>for Body care</t>
    <phoneticPr fontId="7" type="noConversion"/>
  </si>
  <si>
    <t>for Jewelry</t>
    <phoneticPr fontId="7" type="noConversion"/>
  </si>
  <si>
    <t>Body Care</t>
  </si>
  <si>
    <t>cosmetics</t>
    <phoneticPr fontId="7" type="noConversion"/>
  </si>
  <si>
    <t>Gift</t>
    <phoneticPr fontId="7" type="noConversion"/>
  </si>
  <si>
    <t>Capitol One Quicksilver</t>
    <phoneticPr fontId="7" type="noConversion"/>
  </si>
  <si>
    <t>Discover It</t>
    <phoneticPr fontId="7" type="noConversion"/>
  </si>
  <si>
    <t>Fifth Third Bank</t>
    <phoneticPr fontId="7" type="noConversion"/>
  </si>
  <si>
    <t>Fredonia Valley Bank</t>
    <phoneticPr fontId="7" type="noConversion"/>
  </si>
  <si>
    <t>TD Bank</t>
    <phoneticPr fontId="7" type="noConversion"/>
  </si>
  <si>
    <t>Fifth Third Bank Access 360 (MC)</t>
    <phoneticPr fontId="7" type="noConversion"/>
  </si>
  <si>
    <t>Fredonia Valley Bank (MC)</t>
    <phoneticPr fontId="7" type="noConversion"/>
  </si>
  <si>
    <t>TD Bank (Visa)</t>
    <phoneticPr fontId="7" type="noConversion"/>
  </si>
  <si>
    <t>ADP (Visa)</t>
    <phoneticPr fontId="7" type="noConversion"/>
  </si>
  <si>
    <t>Amazon Prime (Visa)</t>
    <phoneticPr fontId="7" type="noConversion"/>
  </si>
  <si>
    <t>First Premier Platinum (MC)</t>
    <phoneticPr fontId="7" type="noConversion"/>
  </si>
  <si>
    <t>Credit One Bank (Visa)</t>
    <phoneticPr fontId="7" type="noConversion"/>
  </si>
  <si>
    <t>Credit One Bank (Visa)</t>
    <phoneticPr fontId="7" type="noConversion"/>
  </si>
  <si>
    <t>CM Checking Accounts</t>
    <phoneticPr fontId="7" type="noConversion"/>
  </si>
  <si>
    <t>Number</t>
    <phoneticPr fontId="7" type="noConversion"/>
  </si>
  <si>
    <t>CM Debit Cards</t>
    <phoneticPr fontId="7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</si>
  <si>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</si>
  <si>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</si>
  <si>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</si>
  <si>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</si>
  <si>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</si>
  <si>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</si>
  <si>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</si>
  <si>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</si>
  <si>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</si>
  <si>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</si>
  <si>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</si>
  <si>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Stamp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</si>
  <si>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</si>
  <si>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</si>
  <si>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</si>
  <si>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</si>
  <si>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</si>
  <si>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</si>
  <si>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</si>
  <si>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</si>
  <si>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</si>
  <si>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</si>
  <si>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Time In</t>
  </si>
  <si>
    <t>Time Out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</si>
  <si>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</si>
  <si>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</si>
  <si>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</si>
  <si>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</si>
  <si>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</si>
  <si>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</si>
  <si>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</si>
  <si>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</si>
  <si>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</si>
  <si>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</si>
  <si>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</si>
  <si>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</si>
  <si>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</si>
  <si>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KY15-Air Travel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</si>
  <si>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</si>
  <si>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</si>
  <si>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</si>
  <si>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</si>
  <si>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</si>
  <si>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</si>
  <si>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</si>
  <si>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</si>
  <si>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</si>
  <si>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</si>
  <si>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</si>
  <si>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7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</si>
  <si>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</si>
  <si>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</si>
  <si>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</si>
  <si>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</si>
  <si>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</si>
  <si>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</si>
  <si>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</si>
  <si>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</si>
  <si>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</si>
  <si>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</si>
  <si>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</si>
  <si>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</si>
  <si>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</si>
  <si>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</si>
  <si>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</si>
  <si>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</si>
  <si>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</si>
  <si>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TDBank - 4978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</si>
  <si>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</si>
  <si>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</si>
  <si>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</si>
  <si>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</si>
  <si>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</si>
  <si>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</si>
  <si>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</si>
  <si>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     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</si>
  <si>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</si>
  <si>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</si>
  <si>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</si>
  <si>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</si>
  <si>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</si>
  <si>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</si>
  <si>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</si>
  <si>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</si>
  <si>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</si>
  <si>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</si>
  <si>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</si>
  <si>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</si>
  <si>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</si>
  <si>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</si>
  <si>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</si>
  <si>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</si>
  <si>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</si>
  <si>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</si>
  <si>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</si>
  <si>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</si>
  <si>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</si>
  <si>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</si>
  <si>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</si>
  <si>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</si>
  <si>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</si>
  <si>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1380 Restaurant/CM-LM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</si>
  <si>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</si>
  <si>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</si>
  <si>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</si>
  <si>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</si>
  <si>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</si>
  <si>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</si>
  <si>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</si>
  <si>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</si>
  <si>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</si>
  <si>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</si>
  <si>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</si>
  <si>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</si>
  <si>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</si>
  <si>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</si>
  <si>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</si>
  <si>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</si>
  <si>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</si>
  <si>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</si>
  <si>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</si>
  <si>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</si>
  <si>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</si>
  <si>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</si>
  <si>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</si>
  <si>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</si>
  <si>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</si>
  <si>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</si>
  <si>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</si>
  <si>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>Duration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</si>
  <si>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</si>
  <si>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</si>
  <si>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</si>
  <si>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</si>
  <si>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</si>
  <si>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</si>
  <si>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</si>
  <si>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</si>
  <si>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</si>
  <si>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Due Date</t>
  </si>
  <si>
    <t>1st of the month</t>
  </si>
  <si>
    <t>Reconcile CM and LM numbers, repair button features</t>
  </si>
  <si>
    <t>Develop spreadsheet button features</t>
  </si>
  <si>
    <t>Initial numbers log set up with categories</t>
  </si>
  <si>
    <t>Data entry</t>
  </si>
  <si>
    <t>Data entry, teach Cecilia data entry</t>
  </si>
  <si>
    <t>Reconcile CM and LM numbers, repair button features, research accounting systems</t>
  </si>
  <si>
    <t>Install sum formulas on numbers log</t>
  </si>
  <si>
    <t>Category tweaks to CM sheet, Git repository setup</t>
  </si>
  <si>
    <t>Set up version control software (git + bitbucket)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</si>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</sst>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m/d/yyyy"/>
    <numFmt numFmtId="166" formatCode="mmmm\-yy"/>
    <numFmt numFmtId="167" formatCode="m/d/yyyy;@"/>
  </numFmts>
  <fonts count="15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i/>
      <sz val="8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sz val="16"/>
      <name val="Verdana"/>
      <family val="2"/>
    </font>
    <font>
      <b/>
      <sz val="16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5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165" fontId="0" fillId="3" borderId="1" xfId="0" applyNumberFormat="1" applyFill="1" applyBorder="1"/>
    <xf numFmtId="0" fontId="4" fillId="2" borderId="1" xfId="0" applyFont="1" applyFill="1" applyBorder="1"/>
    <xf numFmtId="164" fontId="0" fillId="0" borderId="1" xfId="0" applyNumberFormat="1" applyBorder="1"/>
    <xf numFmtId="164" fontId="0" fillId="0" borderId="1" xfId="0" applyNumberFormat="1" applyBorder="1"/>
    <xf numFmtId="0" fontId="0" fillId="0" borderId="1" xfId="0" applyFill="1" applyBorder="1"/>
    <xf numFmtId="164" fontId="0" fillId="0" borderId="0" xfId="0" applyNumberFormat="1" applyBorder="1"/>
    <xf numFmtId="164" fontId="5" fillId="0" borderId="0" xfId="0" applyNumberFormat="1" applyFont="1"/>
    <xf numFmtId="0" fontId="4" fillId="0" borderId="0" xfId="0" applyFont="1" applyFill="1" applyBorder="1"/>
    <xf numFmtId="0" fontId="8" fillId="0" borderId="0" xfId="0" applyFont="1"/>
    <xf numFmtId="164" fontId="8" fillId="0" borderId="0" xfId="0" applyNumberFormat="1" applyFont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0" fillId="0" borderId="0" xfId="0" applyNumberFormat="1"/>
    <xf numFmtId="165" fontId="0" fillId="0" borderId="1" xfId="0" applyNumberFormat="1" applyBorder="1"/>
    <xf numFmtId="164" fontId="0" fillId="0" borderId="1" xfId="0" applyNumberFormat="1" applyBorder="1"/>
    <xf numFmtId="164" fontId="2" fillId="0" borderId="1" xfId="0" applyNumberFormat="1" applyFont="1" applyBorder="1"/>
    <xf numFmtId="0" fontId="2" fillId="0" borderId="1" xfId="0" applyFont="1" applyBorder="1"/>
    <xf numFmtId="165" fontId="2" fillId="2" borderId="1" xfId="0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164" fontId="4" fillId="0" borderId="1" xfId="0" applyNumberFormat="1" applyFont="1" applyBorder="1"/>
    <xf numFmtId="0" fontId="1" fillId="2" borderId="1" xfId="0" applyFont="1" applyFill="1" applyBorder="1"/>
    <xf numFmtId="0" fontId="9" fillId="0" borderId="1" xfId="0" applyFont="1" applyBorder="1"/>
    <xf numFmtId="164" fontId="9" fillId="0" borderId="1" xfId="0" applyNumberFormat="1" applyFont="1" applyBorder="1"/>
    <xf numFmtId="164" fontId="10" fillId="0" borderId="1" xfId="0" applyNumberFormat="1" applyFont="1" applyBorder="1"/>
    <xf numFmtId="164" fontId="1" fillId="2" borderId="1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wrapText="1"/>
    </xf>
    <xf numFmtId="165" fontId="6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0" fontId="4" fillId="2" borderId="4" xfId="0" applyFont="1" applyFill="1" applyBorder="1" applyAlignment="1">
      <alignment wrapText="1"/>
    </xf>
    <xf numFmtId="165" fontId="4" fillId="2" borderId="1" xfId="0" applyNumberFormat="1" applyFont="1" applyFill="1" applyBorder="1"/>
    <xf numFmtId="164" fontId="4" fillId="2" borderId="1" xfId="0" applyNumberFormat="1" applyFont="1" applyFill="1" applyBorder="1"/>
    <xf numFmtId="164" fontId="6" fillId="0" borderId="0" xfId="0" applyNumberFormat="1" applyFont="1"/>
    <xf numFmtId="0" fontId="6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6" fillId="0" borderId="0" xfId="0" applyFont="1" applyFill="1"/>
    <xf numFmtId="0" fontId="5" fillId="5" borderId="0" xfId="0" applyFont="1" applyFill="1"/>
    <xf numFmtId="0" fontId="0" fillId="0" borderId="5" xfId="0" applyBorder="1"/>
    <xf numFmtId="0" fontId="0" fillId="0" borderId="6" xfId="0" applyFont="1" applyFill="1" applyBorder="1"/>
    <xf numFmtId="0" fontId="6" fillId="0" borderId="5" xfId="0" applyFont="1" applyBorder="1"/>
    <xf numFmtId="0" fontId="6" fillId="0" borderId="6" xfId="0" applyFont="1" applyFill="1" applyBorder="1"/>
    <xf numFmtId="0" fontId="0" fillId="4" borderId="5" xfId="0" applyFill="1" applyBorder="1"/>
    <xf numFmtId="0" fontId="6" fillId="4" borderId="5" xfId="0" applyFont="1" applyFill="1" applyBorder="1"/>
    <xf numFmtId="0" fontId="0" fillId="0" borderId="5" xfId="0" applyFill="1" applyBorder="1"/>
    <xf numFmtId="0" fontId="5" fillId="0" borderId="1" xfId="0" applyFont="1" applyBorder="1"/>
    <xf numFmtId="164" fontId="5" fillId="0" borderId="1" xfId="0" applyNumberFormat="1" applyFont="1" applyBorder="1"/>
    <xf numFmtId="0" fontId="8" fillId="0" borderId="1" xfId="0" applyFont="1" applyBorder="1"/>
    <xf numFmtId="164" fontId="8" fillId="0" borderId="1" xfId="0" applyNumberFormat="1" applyFont="1" applyBorder="1"/>
    <xf numFmtId="167" fontId="0" fillId="0" borderId="0" xfId="0" applyNumberFormat="1"/>
    <xf numFmtId="167" fontId="13" fillId="5" borderId="1" xfId="0" applyNumberFormat="1" applyFont="1" applyFill="1" applyBorder="1"/>
    <xf numFmtId="0" fontId="13" fillId="5" borderId="1" xfId="0" applyFont="1" applyFill="1" applyBorder="1"/>
    <xf numFmtId="167" fontId="13" fillId="0" borderId="1" xfId="0" applyNumberFormat="1" applyFont="1" applyBorder="1"/>
    <xf numFmtId="18" fontId="13" fillId="0" borderId="1" xfId="0" applyNumberFormat="1" applyFont="1" applyBorder="1"/>
    <xf numFmtId="2" fontId="13" fillId="0" borderId="1" xfId="0" applyNumberFormat="1" applyFont="1" applyBorder="1"/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3" fillId="0" borderId="1" xfId="0" applyFont="1" applyBorder="1"/>
    <xf numFmtId="1" fontId="14" fillId="6" borderId="1" xfId="0" applyNumberFormat="1" applyFont="1" applyFill="1" applyBorder="1"/>
  </cellXfs>
  <cellStyles count="1">
    <cellStyle name="Normal" xfId="0" builtinId="0"/>
  </cellStyles>
  <dxfs count="3">
    <dxf>
      <font>
        <condense val="0"/>
        <extend val="0"/>
        <color auto="1"/>
      </font>
      <fill>
        <patternFill>
          <bgColor indexed="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1092200</xdr:colOff>
          <xdr:row>0</xdr:row>
          <xdr:rowOff>50800</xdr:rowOff>
        </xdr:from>
        <xdr:to>
          <xdr:col>3</xdr:col>
          <xdr:colOff>2019300</xdr:colOff>
          <xdr:row>0</xdr:row>
          <xdr:rowOff>215900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E46"/>
  <sheetViews>
    <sheetView showGridLines="0" workbookViewId="0">
      <pane ySplit="1" topLeftCell="A20" activePane="bottomLeft" state="frozen"/>
      <selection pane="bottomLeft" activeCell="D45" sqref="D45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43" t="s">
        <v>10</v>
      </c>
      <c r="B1" s="8" t="s">
        <v>11</v>
      </c>
      <c r="C1" s="44" t="s">
        <v>12</v>
      </c>
      <c r="D1" s="8" t="s">
        <v>13</v>
      </c>
    </row>
    <row r="2" spans="1:4" x14ac:dyDescent="0.15">
      <c r="A2" s="5">
        <v>41640</v>
      </c>
      <c r="B2" t="s">
        <v>74</v>
      </c>
      <c r="C2" s="23">
        <v>74.489999999999995</v>
      </c>
      <c r="D2" t="s">
        <v>36</v>
      </c>
    </row>
    <row r="3" spans="1:4" x14ac:dyDescent="0.15">
      <c r="A3" s="5">
        <v>41641</v>
      </c>
      <c r="B3" t="s">
        <v>74</v>
      </c>
      <c r="C3" s="23">
        <v>43.09</v>
      </c>
      <c r="D3" t="s">
        <v>36</v>
      </c>
    </row>
    <row r="4" spans="1:4" x14ac:dyDescent="0.15">
      <c r="A4" s="5">
        <v>41643</v>
      </c>
      <c r="B4" t="s">
        <v>74</v>
      </c>
      <c r="C4" s="23">
        <v>45.13</v>
      </c>
      <c r="D4" t="s">
        <v>36</v>
      </c>
    </row>
    <row r="5" spans="1:4" x14ac:dyDescent="0.15">
      <c r="A5" s="5">
        <v>41647</v>
      </c>
      <c r="B5" t="s">
        <v>75</v>
      </c>
      <c r="C5" s="23">
        <v>25</v>
      </c>
      <c r="D5" t="s">
        <v>280</v>
      </c>
    </row>
    <row r="6" spans="1:4" x14ac:dyDescent="0.15">
      <c r="A6" s="5">
        <v>41652</v>
      </c>
      <c r="B6" t="s">
        <v>75</v>
      </c>
      <c r="C6" s="23">
        <v>26.87</v>
      </c>
    </row>
    <row r="7" spans="1:4" x14ac:dyDescent="0.15">
      <c r="A7" s="47">
        <v>41655</v>
      </c>
      <c r="B7" s="48" t="s">
        <v>75</v>
      </c>
      <c r="C7" s="49">
        <v>202.23</v>
      </c>
      <c r="D7" s="48" t="s">
        <v>140</v>
      </c>
    </row>
    <row r="8" spans="1:4" x14ac:dyDescent="0.15">
      <c r="A8" s="5">
        <v>41658</v>
      </c>
      <c r="B8" t="s">
        <v>75</v>
      </c>
      <c r="C8" s="23">
        <v>8.7100000000000009</v>
      </c>
      <c r="D8" t="s">
        <v>142</v>
      </c>
    </row>
    <row r="9" spans="1:4" x14ac:dyDescent="0.15">
      <c r="A9" s="5">
        <v>41660</v>
      </c>
      <c r="B9" t="s">
        <v>75</v>
      </c>
      <c r="C9" s="23">
        <v>61.61</v>
      </c>
      <c r="D9" t="s">
        <v>78</v>
      </c>
    </row>
    <row r="10" spans="1:4" x14ac:dyDescent="0.15">
      <c r="A10" s="5">
        <v>41664</v>
      </c>
      <c r="B10" t="s">
        <v>6</v>
      </c>
      <c r="C10" s="23">
        <v>1542.07</v>
      </c>
      <c r="D10" t="s">
        <v>281</v>
      </c>
    </row>
    <row r="11" spans="1:4" x14ac:dyDescent="0.15">
      <c r="A11" s="5">
        <v>41664</v>
      </c>
      <c r="B11" t="s">
        <v>75</v>
      </c>
      <c r="C11" s="23">
        <v>28.06</v>
      </c>
      <c r="D11" t="s">
        <v>78</v>
      </c>
    </row>
    <row r="12" spans="1:4" x14ac:dyDescent="0.15">
      <c r="A12" s="5">
        <v>41665</v>
      </c>
      <c r="B12" t="s">
        <v>75</v>
      </c>
      <c r="C12" s="23">
        <v>152.41999999999999</v>
      </c>
      <c r="D12" t="s">
        <v>154</v>
      </c>
    </row>
    <row r="13" spans="1:4" x14ac:dyDescent="0.15">
      <c r="A13" s="5">
        <v>41675</v>
      </c>
      <c r="B13" t="s">
        <v>75</v>
      </c>
      <c r="C13" s="23">
        <v>1000</v>
      </c>
      <c r="D13" t="s">
        <v>73</v>
      </c>
    </row>
    <row r="14" spans="1:4" x14ac:dyDescent="0.15">
      <c r="A14" s="47">
        <v>41677</v>
      </c>
      <c r="B14" s="48" t="s">
        <v>75</v>
      </c>
      <c r="C14" s="49">
        <v>93.51</v>
      </c>
      <c r="D14" s="48" t="s">
        <v>78</v>
      </c>
    </row>
    <row r="15" spans="1:4" x14ac:dyDescent="0.15">
      <c r="A15" s="5">
        <v>41679</v>
      </c>
      <c r="B15" t="s">
        <v>75</v>
      </c>
      <c r="C15" s="23">
        <v>19.23</v>
      </c>
      <c r="D15" t="s">
        <v>78</v>
      </c>
    </row>
    <row r="16" spans="1:4" x14ac:dyDescent="0.15">
      <c r="A16" s="5">
        <v>41679</v>
      </c>
      <c r="B16" t="s">
        <v>75</v>
      </c>
      <c r="C16" s="23">
        <v>181.82</v>
      </c>
      <c r="D16" t="s">
        <v>145</v>
      </c>
    </row>
    <row r="17" spans="1:4" x14ac:dyDescent="0.15">
      <c r="A17" s="5">
        <v>41680</v>
      </c>
      <c r="B17" t="s">
        <v>75</v>
      </c>
      <c r="C17" s="23">
        <v>77.52</v>
      </c>
      <c r="D17" t="s">
        <v>282</v>
      </c>
    </row>
    <row r="18" spans="1:4" x14ac:dyDescent="0.15">
      <c r="A18" s="47">
        <v>41681</v>
      </c>
      <c r="B18" s="48" t="s">
        <v>75</v>
      </c>
      <c r="C18" s="49">
        <v>48.38</v>
      </c>
      <c r="D18" s="50" t="s">
        <v>182</v>
      </c>
    </row>
    <row r="19" spans="1:4" x14ac:dyDescent="0.15">
      <c r="A19" s="5">
        <v>41681</v>
      </c>
      <c r="B19" t="s">
        <v>75</v>
      </c>
      <c r="C19" s="23">
        <v>17.29</v>
      </c>
      <c r="D19" t="s">
        <v>78</v>
      </c>
    </row>
    <row r="20" spans="1:4" x14ac:dyDescent="0.15">
      <c r="A20" s="5">
        <v>41681</v>
      </c>
      <c r="B20" t="s">
        <v>75</v>
      </c>
      <c r="C20" s="23">
        <v>18.5</v>
      </c>
      <c r="D20" t="s">
        <v>146</v>
      </c>
    </row>
    <row r="21" spans="1:4" x14ac:dyDescent="0.15">
      <c r="A21" s="5">
        <v>41681</v>
      </c>
      <c r="B21" t="s">
        <v>75</v>
      </c>
      <c r="C21" s="23">
        <v>19.899999999999999</v>
      </c>
      <c r="D21" t="s">
        <v>147</v>
      </c>
    </row>
    <row r="22" spans="1:4" x14ac:dyDescent="0.15">
      <c r="A22" s="5">
        <v>41682</v>
      </c>
      <c r="B22" t="s">
        <v>75</v>
      </c>
      <c r="C22" s="23">
        <v>19.059999999999999</v>
      </c>
      <c r="D22" t="s">
        <v>143</v>
      </c>
    </row>
    <row r="23" spans="1:4" x14ac:dyDescent="0.15">
      <c r="A23" s="5">
        <v>41683</v>
      </c>
      <c r="B23" t="s">
        <v>75</v>
      </c>
      <c r="C23" s="23">
        <v>61.7</v>
      </c>
      <c r="D23" t="s">
        <v>143</v>
      </c>
    </row>
    <row r="24" spans="1:4" x14ac:dyDescent="0.15">
      <c r="A24" s="47">
        <v>41683</v>
      </c>
      <c r="B24" s="48" t="s">
        <v>75</v>
      </c>
      <c r="C24" s="49">
        <v>96.57</v>
      </c>
      <c r="D24" s="48" t="s">
        <v>151</v>
      </c>
    </row>
    <row r="25" spans="1:4" x14ac:dyDescent="0.15">
      <c r="A25" s="5">
        <v>41690</v>
      </c>
      <c r="B25" t="s">
        <v>4</v>
      </c>
      <c r="C25" s="23">
        <v>928</v>
      </c>
      <c r="D25" t="s">
        <v>283</v>
      </c>
    </row>
    <row r="26" spans="1:4" x14ac:dyDescent="0.15">
      <c r="A26" s="5">
        <v>41690</v>
      </c>
      <c r="B26" t="s">
        <v>4</v>
      </c>
      <c r="C26" s="23">
        <v>940</v>
      </c>
      <c r="D26" t="s">
        <v>18</v>
      </c>
    </row>
    <row r="27" spans="1:4" x14ac:dyDescent="0.15">
      <c r="A27" s="5">
        <v>41692</v>
      </c>
      <c r="B27" t="s">
        <v>98</v>
      </c>
      <c r="C27" s="23">
        <v>0.02</v>
      </c>
      <c r="D27" t="s">
        <v>284</v>
      </c>
    </row>
    <row r="28" spans="1:4" x14ac:dyDescent="0.15">
      <c r="A28" s="5">
        <v>41692</v>
      </c>
      <c r="B28" t="s">
        <v>6</v>
      </c>
      <c r="C28" s="23">
        <v>2293.6799999999998</v>
      </c>
      <c r="D28" t="s">
        <v>285</v>
      </c>
    </row>
    <row r="29" spans="1:4" x14ac:dyDescent="0.15">
      <c r="A29" s="5">
        <v>41695</v>
      </c>
      <c r="B29" t="s">
        <v>74</v>
      </c>
      <c r="C29" s="23">
        <v>26.94</v>
      </c>
      <c r="D29" t="s">
        <v>36</v>
      </c>
    </row>
    <row r="30" spans="1:4" x14ac:dyDescent="0.15">
      <c r="A30" s="47">
        <v>41701</v>
      </c>
      <c r="B30" s="48" t="s">
        <v>74</v>
      </c>
      <c r="C30" s="49">
        <v>12.36</v>
      </c>
      <c r="D30" s="48" t="s">
        <v>286</v>
      </c>
    </row>
    <row r="31" spans="1:4" x14ac:dyDescent="0.15">
      <c r="A31" s="47">
        <v>41701</v>
      </c>
      <c r="B31" s="48" t="s">
        <v>74</v>
      </c>
      <c r="C31" s="49">
        <v>12.96</v>
      </c>
      <c r="D31" s="48" t="s">
        <v>286</v>
      </c>
    </row>
    <row r="32" spans="1:4" x14ac:dyDescent="0.15">
      <c r="A32" s="5">
        <v>41702</v>
      </c>
      <c r="B32" t="s">
        <v>75</v>
      </c>
      <c r="C32" s="23">
        <v>77.31</v>
      </c>
      <c r="D32" t="s">
        <v>153</v>
      </c>
    </row>
    <row r="33" spans="1:5" x14ac:dyDescent="0.15">
      <c r="A33" s="5">
        <v>41702</v>
      </c>
      <c r="B33" t="s">
        <v>75</v>
      </c>
      <c r="C33" s="23">
        <v>79.19</v>
      </c>
      <c r="D33" t="s">
        <v>78</v>
      </c>
    </row>
    <row r="34" spans="1:5" x14ac:dyDescent="0.15">
      <c r="A34" s="5">
        <v>41702</v>
      </c>
      <c r="B34" t="s">
        <v>75</v>
      </c>
      <c r="C34" s="23">
        <v>6.99</v>
      </c>
      <c r="D34" t="s">
        <v>78</v>
      </c>
    </row>
    <row r="35" spans="1:5" x14ac:dyDescent="0.15">
      <c r="A35" s="5">
        <v>41703</v>
      </c>
      <c r="B35" t="s">
        <v>75</v>
      </c>
      <c r="C35" s="23">
        <v>102.5</v>
      </c>
      <c r="D35" t="s">
        <v>80</v>
      </c>
    </row>
    <row r="36" spans="1:5" x14ac:dyDescent="0.15">
      <c r="A36" s="5">
        <v>41703</v>
      </c>
      <c r="B36" t="s">
        <v>74</v>
      </c>
      <c r="C36" s="23">
        <v>1000</v>
      </c>
      <c r="D36" t="s">
        <v>73</v>
      </c>
    </row>
    <row r="37" spans="1:5" x14ac:dyDescent="0.15">
      <c r="A37" s="5">
        <v>41703</v>
      </c>
      <c r="B37" t="s">
        <v>74</v>
      </c>
      <c r="C37" s="23">
        <v>1000</v>
      </c>
      <c r="D37" t="s">
        <v>76</v>
      </c>
      <c r="E37" s="23"/>
    </row>
    <row r="38" spans="1:5" x14ac:dyDescent="0.15">
      <c r="A38" s="5">
        <v>41707</v>
      </c>
      <c r="B38" t="s">
        <v>75</v>
      </c>
      <c r="C38" s="23">
        <v>28.29</v>
      </c>
      <c r="D38" t="s">
        <v>78</v>
      </c>
    </row>
    <row r="39" spans="1:5" x14ac:dyDescent="0.15">
      <c r="A39" s="5">
        <v>41711</v>
      </c>
      <c r="B39" t="s">
        <v>74</v>
      </c>
      <c r="C39" s="23">
        <v>169.46</v>
      </c>
      <c r="D39" t="s">
        <v>90</v>
      </c>
    </row>
    <row r="40" spans="1:5" x14ac:dyDescent="0.15">
      <c r="A40" s="47">
        <v>41714</v>
      </c>
      <c r="B40" s="50" t="s">
        <v>74</v>
      </c>
      <c r="C40" s="49">
        <v>133.22</v>
      </c>
      <c r="D40" s="50" t="s">
        <v>182</v>
      </c>
    </row>
    <row r="41" spans="1:5" x14ac:dyDescent="0.15">
      <c r="A41" s="5">
        <v>41718</v>
      </c>
      <c r="B41" t="s">
        <v>9</v>
      </c>
      <c r="C41" s="23">
        <v>928</v>
      </c>
      <c r="D41" s="36" t="s">
        <v>287</v>
      </c>
    </row>
    <row r="42" spans="1:5" x14ac:dyDescent="0.15">
      <c r="A42" s="5">
        <v>41721</v>
      </c>
      <c r="B42" t="s">
        <v>74</v>
      </c>
      <c r="C42" s="23">
        <v>129.56</v>
      </c>
      <c r="D42" s="36" t="s">
        <v>288</v>
      </c>
    </row>
    <row r="43" spans="1:5" x14ac:dyDescent="0.15">
      <c r="A43" s="5">
        <v>41681</v>
      </c>
      <c r="B43" s="36" t="s">
        <v>74</v>
      </c>
      <c r="C43" s="23">
        <v>28.38</v>
      </c>
      <c r="D43" t="s">
        <v>308</v>
      </c>
    </row>
    <row r="44" spans="1:5" x14ac:dyDescent="0.15">
      <c r="A44" s="5">
        <v>41701</v>
      </c>
      <c r="B44" s="36" t="s">
        <v>74</v>
      </c>
      <c r="C44" s="23">
        <v>12.36</v>
      </c>
      <c r="D44" t="s">
        <v>310</v>
      </c>
    </row>
    <row r="45" spans="1:5" x14ac:dyDescent="0.15">
      <c r="A45" s="5">
        <v>41701</v>
      </c>
      <c r="B45" s="36" t="s">
        <v>74</v>
      </c>
      <c r="C45" s="23">
        <v>12.96</v>
      </c>
      <c r="D45" s="36" t="s">
        <v>312</v>
      </c>
    </row>
    <row r="46" spans="1:5" x14ac:dyDescent="0.15">
      <c r="A46" s="5"/>
      <c r="B46" s="36"/>
      <c r="C46" s="23"/>
    </row>
  </sheetData>
  <autoFilter ref="A1:D42" xr:uid="{00000000-0009-0000-0000-000000000000}"/>
  <phoneticPr fontId="7" type="noConversion"/>
  <dataValidations disablePrompts="1" count="2">
    <dataValidation type="list" allowBlank="1" showInputMessage="1" showErrorMessage="1" sqref="B2:B42 B47:B1048576" xr:uid="{00000000-0002-0000-0000-000000000000}">
      <formula1>income</formula1>
    </dataValidation>
    <dataValidation type="list" allowBlank="1" showInputMessage="1" showErrorMessage="1" sqref="B43:B46" xr:uid="{46A1ED59-F790-7E46-9627-5FD35BC2831A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E277"/>
  <sheetViews>
    <sheetView showGridLines="0" zoomScale="150" workbookViewId="0">
      <pane ySplit="1" topLeftCell="A2" activePane="bottomLeft" state="frozen"/>
      <selection pane="bottomLeft" activeCell="A276" sqref="A276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17" bestFit="1" customWidth="1"/>
    <col min="5" max="5" width="23" customWidth="1"/>
  </cols>
  <sheetData>
    <row r="1" spans="1:4" ht="93" customHeight="1" thickBot="1" x14ac:dyDescent="0.2">
      <c r="A1" s="39" t="s">
        <v>198</v>
      </c>
      <c r="B1" s="40" t="s">
        <v>201</v>
      </c>
      <c r="C1" s="41" t="s">
        <v>203</v>
      </c>
      <c r="D1" s="42" t="s">
        <v>148</v>
      </c>
    </row>
    <row r="2" spans="1:4" x14ac:dyDescent="0.15">
      <c r="A2" s="5">
        <v>41640</v>
      </c>
      <c r="B2" t="s">
        <v>96</v>
      </c>
      <c r="C2" s="23">
        <v>15</v>
      </c>
      <c r="D2" s="17" t="s">
        <v>204</v>
      </c>
    </row>
    <row r="3" spans="1:4" x14ac:dyDescent="0.15">
      <c r="A3" s="5">
        <v>41640</v>
      </c>
      <c r="B3" t="s">
        <v>75</v>
      </c>
      <c r="C3" s="23">
        <v>74.489999999999995</v>
      </c>
      <c r="D3" s="17" t="s">
        <v>205</v>
      </c>
    </row>
    <row r="4" spans="1:4" x14ac:dyDescent="0.15">
      <c r="A4" s="5">
        <v>41641</v>
      </c>
      <c r="B4" t="s">
        <v>64</v>
      </c>
      <c r="C4" s="23">
        <v>50</v>
      </c>
      <c r="D4" s="17" t="s">
        <v>206</v>
      </c>
    </row>
    <row r="5" spans="1:4" x14ac:dyDescent="0.15">
      <c r="A5" s="5">
        <v>41641</v>
      </c>
      <c r="B5" s="36" t="s">
        <v>200</v>
      </c>
      <c r="C5" s="23">
        <v>14.55</v>
      </c>
    </row>
    <row r="6" spans="1:4" x14ac:dyDescent="0.15">
      <c r="A6" s="5">
        <v>41641</v>
      </c>
      <c r="B6" t="s">
        <v>75</v>
      </c>
      <c r="C6" s="23">
        <v>43.09</v>
      </c>
      <c r="D6" s="17" t="s">
        <v>207</v>
      </c>
    </row>
    <row r="7" spans="1:4" x14ac:dyDescent="0.15">
      <c r="A7" s="5">
        <v>41641</v>
      </c>
      <c r="B7" t="s">
        <v>38</v>
      </c>
      <c r="C7" s="23">
        <v>111.12</v>
      </c>
      <c r="D7" s="17" t="s">
        <v>208</v>
      </c>
    </row>
    <row r="8" spans="1:4" x14ac:dyDescent="0.15">
      <c r="A8" s="5">
        <v>41643</v>
      </c>
      <c r="B8" t="s">
        <v>75</v>
      </c>
      <c r="C8" s="23">
        <v>45.13</v>
      </c>
      <c r="D8" s="17" t="s">
        <v>72</v>
      </c>
    </row>
    <row r="9" spans="1:4" x14ac:dyDescent="0.15">
      <c r="A9" s="5">
        <v>41646</v>
      </c>
      <c r="B9" t="s">
        <v>77</v>
      </c>
      <c r="C9" s="23">
        <v>5.16</v>
      </c>
      <c r="D9" s="17" t="s">
        <v>209</v>
      </c>
    </row>
    <row r="10" spans="1:4" x14ac:dyDescent="0.15">
      <c r="A10" s="5">
        <v>41647</v>
      </c>
      <c r="B10" t="s">
        <v>65</v>
      </c>
      <c r="C10" s="23">
        <v>26.38</v>
      </c>
      <c r="D10" s="37" t="s">
        <v>304</v>
      </c>
    </row>
    <row r="11" spans="1:4" x14ac:dyDescent="0.15">
      <c r="A11" s="5">
        <v>41647</v>
      </c>
      <c r="B11" t="s">
        <v>75</v>
      </c>
      <c r="C11" s="23">
        <v>8.2899999999999991</v>
      </c>
      <c r="D11" s="17" t="s">
        <v>210</v>
      </c>
    </row>
    <row r="12" spans="1:4" x14ac:dyDescent="0.15">
      <c r="A12" s="5">
        <v>41647</v>
      </c>
      <c r="B12" t="s">
        <v>139</v>
      </c>
      <c r="C12" s="23">
        <v>25</v>
      </c>
      <c r="D12" s="17" t="s">
        <v>211</v>
      </c>
    </row>
    <row r="13" spans="1:4" x14ac:dyDescent="0.15">
      <c r="A13" s="5">
        <v>41648</v>
      </c>
      <c r="B13" t="s">
        <v>22</v>
      </c>
      <c r="C13" s="23">
        <v>4.99</v>
      </c>
      <c r="D13" s="17" t="s">
        <v>66</v>
      </c>
    </row>
    <row r="14" spans="1:4" x14ac:dyDescent="0.15">
      <c r="A14" s="5">
        <v>41648</v>
      </c>
      <c r="B14" t="s">
        <v>19</v>
      </c>
      <c r="C14" s="23">
        <v>26.47</v>
      </c>
      <c r="D14" s="17" t="s">
        <v>212</v>
      </c>
    </row>
    <row r="15" spans="1:4" x14ac:dyDescent="0.15">
      <c r="A15" s="5">
        <v>41648</v>
      </c>
      <c r="B15" t="s">
        <v>29</v>
      </c>
      <c r="C15" s="23">
        <v>5</v>
      </c>
    </row>
    <row r="16" spans="1:4" x14ac:dyDescent="0.15">
      <c r="A16" s="5">
        <v>41650</v>
      </c>
      <c r="B16" t="s">
        <v>122</v>
      </c>
      <c r="C16" s="23">
        <v>82</v>
      </c>
      <c r="D16" s="17" t="s">
        <v>213</v>
      </c>
    </row>
    <row r="17" spans="1:4" x14ac:dyDescent="0.15">
      <c r="A17" s="5">
        <v>41650</v>
      </c>
      <c r="B17" t="s">
        <v>25</v>
      </c>
      <c r="C17" s="23">
        <v>5</v>
      </c>
    </row>
    <row r="18" spans="1:4" x14ac:dyDescent="0.15">
      <c r="A18" s="5">
        <v>41650</v>
      </c>
      <c r="B18" t="s">
        <v>214</v>
      </c>
      <c r="C18" s="23">
        <v>18</v>
      </c>
      <c r="D18" s="17" t="s">
        <v>215</v>
      </c>
    </row>
    <row r="19" spans="1:4" x14ac:dyDescent="0.15">
      <c r="A19" s="5">
        <v>41651</v>
      </c>
      <c r="B19" t="s">
        <v>25</v>
      </c>
      <c r="C19" s="23">
        <v>31.4</v>
      </c>
    </row>
    <row r="20" spans="1:4" x14ac:dyDescent="0.15">
      <c r="A20" s="5">
        <v>41651</v>
      </c>
      <c r="B20" t="s">
        <v>77</v>
      </c>
      <c r="C20" s="23">
        <v>85.64</v>
      </c>
    </row>
    <row r="21" spans="1:4" x14ac:dyDescent="0.15">
      <c r="A21" s="5">
        <v>41652</v>
      </c>
      <c r="B21" t="s">
        <v>25</v>
      </c>
      <c r="C21" s="23">
        <v>3.75</v>
      </c>
    </row>
    <row r="22" spans="1:4" x14ac:dyDescent="0.15">
      <c r="A22" s="5">
        <v>41654</v>
      </c>
      <c r="B22" t="s">
        <v>135</v>
      </c>
      <c r="C22" s="23">
        <v>86.62</v>
      </c>
    </row>
    <row r="23" spans="1:4" x14ac:dyDescent="0.15">
      <c r="A23" s="5">
        <v>41654</v>
      </c>
      <c r="B23" t="s">
        <v>89</v>
      </c>
      <c r="C23" s="23">
        <v>82</v>
      </c>
      <c r="D23" s="17" t="s">
        <v>216</v>
      </c>
    </row>
    <row r="24" spans="1:4" x14ac:dyDescent="0.15">
      <c r="A24" s="5">
        <v>41654</v>
      </c>
      <c r="B24" t="s">
        <v>105</v>
      </c>
      <c r="C24" s="23">
        <v>70</v>
      </c>
    </row>
    <row r="25" spans="1:4" x14ac:dyDescent="0.15">
      <c r="A25" s="5">
        <v>41654</v>
      </c>
      <c r="B25" t="s">
        <v>104</v>
      </c>
      <c r="C25" s="23">
        <v>45</v>
      </c>
    </row>
    <row r="26" spans="1:4" x14ac:dyDescent="0.15">
      <c r="A26" s="5">
        <v>41654</v>
      </c>
      <c r="B26" t="s">
        <v>25</v>
      </c>
      <c r="C26" s="23">
        <v>13.88</v>
      </c>
    </row>
    <row r="27" spans="1:4" x14ac:dyDescent="0.15">
      <c r="A27" s="5">
        <v>41654</v>
      </c>
      <c r="B27" t="s">
        <v>25</v>
      </c>
      <c r="C27" s="23">
        <v>29.4</v>
      </c>
    </row>
    <row r="28" spans="1:4" x14ac:dyDescent="0.15">
      <c r="A28" s="5">
        <v>41654</v>
      </c>
      <c r="B28" t="s">
        <v>25</v>
      </c>
      <c r="C28" s="23">
        <v>3.75</v>
      </c>
    </row>
    <row r="29" spans="1:4" x14ac:dyDescent="0.15">
      <c r="A29" s="5">
        <v>41654</v>
      </c>
      <c r="B29" t="s">
        <v>25</v>
      </c>
      <c r="C29" s="23">
        <v>26.87</v>
      </c>
    </row>
    <row r="30" spans="1:4" x14ac:dyDescent="0.15">
      <c r="A30" s="5">
        <v>41654</v>
      </c>
      <c r="B30" t="s">
        <v>77</v>
      </c>
      <c r="C30" s="23">
        <v>11.9</v>
      </c>
    </row>
    <row r="31" spans="1:4" x14ac:dyDescent="0.15">
      <c r="A31" s="5">
        <v>41654</v>
      </c>
      <c r="B31" t="s">
        <v>77</v>
      </c>
      <c r="C31" s="23">
        <v>85.64</v>
      </c>
    </row>
    <row r="32" spans="1:4" x14ac:dyDescent="0.15">
      <c r="A32" s="5">
        <v>41654</v>
      </c>
      <c r="B32" t="s">
        <v>77</v>
      </c>
      <c r="C32" s="23">
        <v>115.61</v>
      </c>
    </row>
    <row r="33" spans="1:4" x14ac:dyDescent="0.15">
      <c r="A33" s="5">
        <v>41654</v>
      </c>
      <c r="B33" s="36" t="s">
        <v>200</v>
      </c>
      <c r="C33" s="23">
        <v>14.92</v>
      </c>
    </row>
    <row r="34" spans="1:4" x14ac:dyDescent="0.15">
      <c r="A34" s="5">
        <v>41654</v>
      </c>
      <c r="B34" t="s">
        <v>29</v>
      </c>
      <c r="C34" s="23">
        <v>11.62</v>
      </c>
    </row>
    <row r="35" spans="1:4" x14ac:dyDescent="0.15">
      <c r="A35" s="5">
        <v>41654</v>
      </c>
      <c r="B35" t="s">
        <v>29</v>
      </c>
      <c r="C35" s="23">
        <v>8.5</v>
      </c>
    </row>
    <row r="36" spans="1:4" x14ac:dyDescent="0.15">
      <c r="A36" s="5">
        <v>41655</v>
      </c>
      <c r="B36" t="s">
        <v>83</v>
      </c>
      <c r="C36" s="23">
        <v>35</v>
      </c>
    </row>
    <row r="37" spans="1:4" x14ac:dyDescent="0.15">
      <c r="A37" s="5">
        <v>41655</v>
      </c>
      <c r="B37" t="s">
        <v>77</v>
      </c>
      <c r="C37" s="23">
        <v>202.23</v>
      </c>
    </row>
    <row r="38" spans="1:4" x14ac:dyDescent="0.15">
      <c r="A38" s="5">
        <v>41655</v>
      </c>
      <c r="B38" t="s">
        <v>45</v>
      </c>
      <c r="C38" s="23">
        <v>17</v>
      </c>
    </row>
    <row r="39" spans="1:4" x14ac:dyDescent="0.15">
      <c r="A39" s="5">
        <v>41655</v>
      </c>
      <c r="B39" t="s">
        <v>29</v>
      </c>
      <c r="C39" s="23">
        <v>8.33</v>
      </c>
    </row>
    <row r="40" spans="1:4" x14ac:dyDescent="0.15">
      <c r="A40" s="5">
        <v>41656</v>
      </c>
      <c r="B40" t="s">
        <v>134</v>
      </c>
      <c r="C40" s="23">
        <v>7</v>
      </c>
    </row>
    <row r="41" spans="1:4" x14ac:dyDescent="0.15">
      <c r="A41" s="5">
        <v>41656</v>
      </c>
      <c r="B41" t="s">
        <v>60</v>
      </c>
      <c r="C41" s="23">
        <v>150</v>
      </c>
      <c r="D41" s="17" t="s">
        <v>81</v>
      </c>
    </row>
    <row r="42" spans="1:4" x14ac:dyDescent="0.15">
      <c r="A42" s="5">
        <v>41656</v>
      </c>
      <c r="B42" t="s">
        <v>2</v>
      </c>
      <c r="C42" s="23">
        <v>72.8</v>
      </c>
      <c r="D42" s="17" t="s">
        <v>3</v>
      </c>
    </row>
    <row r="43" spans="1:4" x14ac:dyDescent="0.15">
      <c r="A43" s="5">
        <v>41656</v>
      </c>
      <c r="B43" t="s">
        <v>25</v>
      </c>
      <c r="C43" s="23">
        <v>5.39</v>
      </c>
    </row>
    <row r="44" spans="1:4" x14ac:dyDescent="0.15">
      <c r="A44" s="5">
        <v>41656</v>
      </c>
      <c r="B44" t="s">
        <v>1</v>
      </c>
      <c r="C44" s="23">
        <v>100</v>
      </c>
    </row>
    <row r="45" spans="1:4" x14ac:dyDescent="0.15">
      <c r="A45" s="5">
        <v>41657</v>
      </c>
      <c r="B45" t="s">
        <v>100</v>
      </c>
      <c r="C45" s="23">
        <v>118.39</v>
      </c>
    </row>
    <row r="46" spans="1:4" x14ac:dyDescent="0.15">
      <c r="A46" s="5">
        <v>41657</v>
      </c>
      <c r="B46" t="s">
        <v>33</v>
      </c>
      <c r="C46" s="23">
        <v>7</v>
      </c>
      <c r="D46" s="17" t="s">
        <v>61</v>
      </c>
    </row>
    <row r="47" spans="1:4" x14ac:dyDescent="0.15">
      <c r="A47" s="5">
        <v>41657</v>
      </c>
      <c r="B47" t="s">
        <v>102</v>
      </c>
      <c r="C47" s="23">
        <v>279.32</v>
      </c>
      <c r="D47" s="17" t="s">
        <v>217</v>
      </c>
    </row>
    <row r="48" spans="1:4" x14ac:dyDescent="0.15">
      <c r="A48" s="5">
        <v>41657</v>
      </c>
      <c r="B48" t="s">
        <v>77</v>
      </c>
      <c r="C48" s="23">
        <v>60.67</v>
      </c>
      <c r="D48" s="17" t="s">
        <v>236</v>
      </c>
    </row>
    <row r="49" spans="1:4" x14ac:dyDescent="0.15">
      <c r="A49" s="5">
        <v>41657</v>
      </c>
      <c r="B49" t="s">
        <v>0</v>
      </c>
      <c r="C49" s="23">
        <v>60.62</v>
      </c>
      <c r="D49" s="17" t="s">
        <v>218</v>
      </c>
    </row>
    <row r="50" spans="1:4" x14ac:dyDescent="0.15">
      <c r="A50" s="5">
        <v>41658</v>
      </c>
      <c r="B50" t="s">
        <v>26</v>
      </c>
      <c r="C50" s="23">
        <v>8.7100000000000009</v>
      </c>
      <c r="D50" s="17" t="s">
        <v>141</v>
      </c>
    </row>
    <row r="51" spans="1:4" x14ac:dyDescent="0.15">
      <c r="A51" s="5">
        <v>41658</v>
      </c>
      <c r="B51" t="s">
        <v>77</v>
      </c>
      <c r="C51" s="23">
        <v>19.23</v>
      </c>
    </row>
    <row r="52" spans="1:4" x14ac:dyDescent="0.15">
      <c r="A52" s="5">
        <v>41660</v>
      </c>
      <c r="B52" t="s">
        <v>55</v>
      </c>
      <c r="C52" s="23">
        <v>154.65</v>
      </c>
      <c r="D52" s="17" t="s">
        <v>219</v>
      </c>
    </row>
    <row r="53" spans="1:4" x14ac:dyDescent="0.15">
      <c r="A53" s="5">
        <v>41660</v>
      </c>
      <c r="B53" t="s">
        <v>25</v>
      </c>
      <c r="C53" s="23">
        <v>23.23</v>
      </c>
    </row>
    <row r="54" spans="1:4" x14ac:dyDescent="0.15">
      <c r="A54" s="5">
        <v>41660</v>
      </c>
      <c r="B54" t="s">
        <v>77</v>
      </c>
      <c r="C54" s="23">
        <v>61.61</v>
      </c>
    </row>
    <row r="55" spans="1:4" x14ac:dyDescent="0.15">
      <c r="A55" s="5">
        <v>41660</v>
      </c>
      <c r="B55" t="s">
        <v>62</v>
      </c>
      <c r="C55" s="23">
        <v>29.5</v>
      </c>
    </row>
    <row r="56" spans="1:4" x14ac:dyDescent="0.15">
      <c r="A56" s="5">
        <v>41660</v>
      </c>
      <c r="B56" t="s">
        <v>43</v>
      </c>
      <c r="C56" s="23">
        <v>92.98</v>
      </c>
      <c r="D56" s="17" t="s">
        <v>220</v>
      </c>
    </row>
    <row r="57" spans="1:4" x14ac:dyDescent="0.15">
      <c r="A57" s="5">
        <v>41663</v>
      </c>
      <c r="B57" t="s">
        <v>45</v>
      </c>
      <c r="C57" s="23">
        <v>15</v>
      </c>
      <c r="D57" s="17" t="s">
        <v>221</v>
      </c>
    </row>
    <row r="58" spans="1:4" x14ac:dyDescent="0.15">
      <c r="A58" s="5">
        <v>41664</v>
      </c>
      <c r="B58" t="s">
        <v>77</v>
      </c>
      <c r="C58" s="23">
        <v>28.06</v>
      </c>
    </row>
    <row r="59" spans="1:4" x14ac:dyDescent="0.15">
      <c r="A59" s="5">
        <v>41665</v>
      </c>
      <c r="B59" t="s">
        <v>136</v>
      </c>
      <c r="C59" s="23">
        <v>152.41999999999999</v>
      </c>
      <c r="D59" s="17" t="s">
        <v>222</v>
      </c>
    </row>
    <row r="60" spans="1:4" x14ac:dyDescent="0.15">
      <c r="A60" s="5">
        <v>41665</v>
      </c>
      <c r="B60" s="36" t="s">
        <v>177</v>
      </c>
      <c r="C60" s="23">
        <v>3</v>
      </c>
      <c r="D60" s="37" t="s">
        <v>178</v>
      </c>
    </row>
    <row r="61" spans="1:4" x14ac:dyDescent="0.15">
      <c r="A61" s="5">
        <v>41665</v>
      </c>
      <c r="B61" t="s">
        <v>25</v>
      </c>
      <c r="C61" s="23">
        <v>39.75</v>
      </c>
    </row>
    <row r="62" spans="1:4" x14ac:dyDescent="0.15">
      <c r="A62" s="5">
        <v>41665</v>
      </c>
      <c r="B62" t="s">
        <v>77</v>
      </c>
      <c r="C62" s="23">
        <v>7.25</v>
      </c>
    </row>
    <row r="63" spans="1:4" x14ac:dyDescent="0.15">
      <c r="A63" s="5">
        <v>41666</v>
      </c>
      <c r="B63" t="s">
        <v>25</v>
      </c>
      <c r="C63" s="23">
        <v>8.0399999999999991</v>
      </c>
    </row>
    <row r="64" spans="1:4" x14ac:dyDescent="0.15">
      <c r="A64" s="5">
        <v>41666</v>
      </c>
      <c r="B64" t="s">
        <v>25</v>
      </c>
      <c r="C64" s="23">
        <v>41.93</v>
      </c>
    </row>
    <row r="65" spans="1:4" x14ac:dyDescent="0.15">
      <c r="A65" s="5">
        <v>41667</v>
      </c>
      <c r="B65" t="s">
        <v>77</v>
      </c>
      <c r="C65" s="23">
        <v>39.22</v>
      </c>
      <c r="D65" s="37" t="s">
        <v>298</v>
      </c>
    </row>
    <row r="66" spans="1:4" x14ac:dyDescent="0.15">
      <c r="A66" s="5">
        <v>41667</v>
      </c>
      <c r="B66" t="s">
        <v>45</v>
      </c>
      <c r="C66" s="23">
        <v>10</v>
      </c>
    </row>
    <row r="67" spans="1:4" x14ac:dyDescent="0.15">
      <c r="A67" s="5">
        <v>41667</v>
      </c>
      <c r="B67" s="36" t="s">
        <v>152</v>
      </c>
      <c r="C67" s="23">
        <v>14.48</v>
      </c>
      <c r="D67" s="37" t="s">
        <v>298</v>
      </c>
    </row>
    <row r="68" spans="1:4" x14ac:dyDescent="0.15">
      <c r="A68" s="5">
        <v>41669</v>
      </c>
      <c r="B68" t="s">
        <v>25</v>
      </c>
      <c r="C68" s="23">
        <v>13.05</v>
      </c>
    </row>
    <row r="69" spans="1:4" x14ac:dyDescent="0.15">
      <c r="A69" s="5">
        <v>41669</v>
      </c>
      <c r="B69" t="s">
        <v>25</v>
      </c>
      <c r="C69" s="23">
        <v>2.25</v>
      </c>
    </row>
    <row r="70" spans="1:4" x14ac:dyDescent="0.15">
      <c r="A70" s="5">
        <v>41670</v>
      </c>
      <c r="B70" t="s">
        <v>2</v>
      </c>
      <c r="C70" s="23">
        <v>200</v>
      </c>
    </row>
    <row r="71" spans="1:4" x14ac:dyDescent="0.15">
      <c r="A71" s="5">
        <v>41670</v>
      </c>
      <c r="B71" t="s">
        <v>25</v>
      </c>
      <c r="C71" s="23">
        <v>10.99</v>
      </c>
    </row>
    <row r="72" spans="1:4" x14ac:dyDescent="0.15">
      <c r="A72" s="5">
        <v>41670</v>
      </c>
      <c r="B72" t="s">
        <v>25</v>
      </c>
      <c r="C72" s="23">
        <v>3.95</v>
      </c>
    </row>
    <row r="73" spans="1:4" x14ac:dyDescent="0.15">
      <c r="A73" s="5">
        <v>41670</v>
      </c>
      <c r="B73" t="s">
        <v>45</v>
      </c>
      <c r="C73" s="23">
        <v>15</v>
      </c>
    </row>
    <row r="74" spans="1:4" x14ac:dyDescent="0.15">
      <c r="A74" s="5">
        <v>41670</v>
      </c>
      <c r="B74" t="s">
        <v>45</v>
      </c>
      <c r="C74" s="23">
        <v>10</v>
      </c>
    </row>
    <row r="75" spans="1:4" x14ac:dyDescent="0.15">
      <c r="A75" s="5">
        <v>41670</v>
      </c>
      <c r="B75" s="23" t="s">
        <v>62</v>
      </c>
      <c r="C75" s="23">
        <v>132.6</v>
      </c>
      <c r="D75" s="17" t="s">
        <v>63</v>
      </c>
    </row>
    <row r="76" spans="1:4" x14ac:dyDescent="0.15">
      <c r="A76" s="5">
        <v>41671</v>
      </c>
      <c r="B76" t="s">
        <v>134</v>
      </c>
      <c r="C76" s="23">
        <v>12</v>
      </c>
    </row>
    <row r="77" spans="1:4" x14ac:dyDescent="0.15">
      <c r="A77" s="5">
        <v>41671</v>
      </c>
      <c r="B77" t="s">
        <v>24</v>
      </c>
      <c r="C77" s="23">
        <v>18.12</v>
      </c>
    </row>
    <row r="78" spans="1:4" x14ac:dyDescent="0.15">
      <c r="A78" s="5">
        <v>41671</v>
      </c>
      <c r="B78" t="s">
        <v>152</v>
      </c>
      <c r="C78" s="23">
        <v>13.5</v>
      </c>
    </row>
    <row r="79" spans="1:4" x14ac:dyDescent="0.15">
      <c r="A79" s="5">
        <v>41671</v>
      </c>
      <c r="B79" t="s">
        <v>50</v>
      </c>
      <c r="C79" s="23">
        <v>85.98</v>
      </c>
    </row>
    <row r="80" spans="1:4" x14ac:dyDescent="0.15">
      <c r="A80" s="5">
        <v>41672</v>
      </c>
      <c r="B80" t="s">
        <v>77</v>
      </c>
      <c r="C80" s="23">
        <v>135.79</v>
      </c>
      <c r="D80" s="37" t="s">
        <v>299</v>
      </c>
    </row>
    <row r="81" spans="1:4" x14ac:dyDescent="0.15">
      <c r="A81" s="5">
        <v>41672</v>
      </c>
      <c r="B81" t="s">
        <v>77</v>
      </c>
      <c r="C81" s="23">
        <v>131.12</v>
      </c>
    </row>
    <row r="82" spans="1:4" x14ac:dyDescent="0.15">
      <c r="A82" s="5">
        <v>41672</v>
      </c>
      <c r="B82" s="36" t="s">
        <v>200</v>
      </c>
      <c r="C82" s="23">
        <v>26.65</v>
      </c>
    </row>
    <row r="83" spans="1:4" x14ac:dyDescent="0.15">
      <c r="A83" s="5">
        <v>41672</v>
      </c>
      <c r="B83" t="s">
        <v>38</v>
      </c>
      <c r="C83" s="23">
        <v>111.12</v>
      </c>
      <c r="D83" s="37" t="s">
        <v>293</v>
      </c>
    </row>
    <row r="84" spans="1:4" x14ac:dyDescent="0.15">
      <c r="A84" s="5">
        <v>41672</v>
      </c>
      <c r="B84" t="s">
        <v>29</v>
      </c>
      <c r="C84" s="23">
        <v>8.3000000000000007</v>
      </c>
    </row>
    <row r="85" spans="1:4" x14ac:dyDescent="0.15">
      <c r="A85" s="5">
        <v>41672</v>
      </c>
      <c r="B85" s="36" t="s">
        <v>183</v>
      </c>
      <c r="C85" s="23">
        <v>5.08</v>
      </c>
      <c r="D85" s="37" t="s">
        <v>299</v>
      </c>
    </row>
    <row r="86" spans="1:4" x14ac:dyDescent="0.15">
      <c r="A86" s="5">
        <v>41673</v>
      </c>
      <c r="B86" t="s">
        <v>91</v>
      </c>
      <c r="C86" s="23">
        <v>3.26</v>
      </c>
    </row>
    <row r="87" spans="1:4" x14ac:dyDescent="0.15">
      <c r="A87" s="5">
        <v>41673</v>
      </c>
      <c r="B87" t="s">
        <v>223</v>
      </c>
      <c r="C87" s="23">
        <v>30.15</v>
      </c>
    </row>
    <row r="88" spans="1:4" x14ac:dyDescent="0.15">
      <c r="A88" s="5">
        <v>41675</v>
      </c>
      <c r="B88" t="s">
        <v>59</v>
      </c>
      <c r="C88" s="23">
        <v>45</v>
      </c>
    </row>
    <row r="89" spans="1:4" x14ac:dyDescent="0.15">
      <c r="A89" s="5">
        <v>41675</v>
      </c>
      <c r="B89" t="s">
        <v>41</v>
      </c>
      <c r="C89" s="23">
        <v>1000</v>
      </c>
    </row>
    <row r="90" spans="1:4" x14ac:dyDescent="0.15">
      <c r="A90" s="5">
        <v>41676</v>
      </c>
      <c r="B90" t="s">
        <v>64</v>
      </c>
      <c r="C90" s="23">
        <v>50</v>
      </c>
    </row>
    <row r="91" spans="1:4" x14ac:dyDescent="0.15">
      <c r="A91" s="5">
        <v>41676</v>
      </c>
      <c r="B91" t="s">
        <v>89</v>
      </c>
      <c r="C91" s="23">
        <v>150</v>
      </c>
    </row>
    <row r="92" spans="1:4" x14ac:dyDescent="0.15">
      <c r="A92" s="5">
        <v>41677</v>
      </c>
      <c r="B92" t="s">
        <v>90</v>
      </c>
      <c r="C92" s="23">
        <v>154.44999999999999</v>
      </c>
    </row>
    <row r="93" spans="1:4" ht="26" x14ac:dyDescent="0.15">
      <c r="A93" s="5">
        <v>41677</v>
      </c>
      <c r="B93" t="s">
        <v>77</v>
      </c>
      <c r="C93" s="23">
        <v>59.58</v>
      </c>
      <c r="D93" s="37" t="s">
        <v>296</v>
      </c>
    </row>
    <row r="94" spans="1:4" x14ac:dyDescent="0.15">
      <c r="A94" s="5">
        <v>41677</v>
      </c>
      <c r="B94" s="36" t="s">
        <v>155</v>
      </c>
      <c r="C94" s="23">
        <v>3.49</v>
      </c>
      <c r="D94" s="37" t="s">
        <v>297</v>
      </c>
    </row>
    <row r="95" spans="1:4" x14ac:dyDescent="0.15">
      <c r="A95" s="5">
        <v>41677</v>
      </c>
      <c r="B95" s="46" t="s">
        <v>183</v>
      </c>
      <c r="C95" s="23">
        <v>4.4800000000000004</v>
      </c>
      <c r="D95" s="37" t="s">
        <v>297</v>
      </c>
    </row>
    <row r="96" spans="1:4" x14ac:dyDescent="0.15">
      <c r="A96" s="5">
        <v>41677</v>
      </c>
      <c r="B96" s="46" t="s">
        <v>202</v>
      </c>
      <c r="C96" s="23">
        <v>25.96</v>
      </c>
      <c r="D96" s="37" t="s">
        <v>297</v>
      </c>
    </row>
    <row r="97" spans="1:4" x14ac:dyDescent="0.15">
      <c r="A97" s="5">
        <v>41678</v>
      </c>
      <c r="B97" t="s">
        <v>27</v>
      </c>
      <c r="C97" s="23">
        <v>26.38</v>
      </c>
      <c r="D97" s="37" t="s">
        <v>305</v>
      </c>
    </row>
    <row r="98" spans="1:4" x14ac:dyDescent="0.15">
      <c r="A98" s="5">
        <v>41679</v>
      </c>
      <c r="B98" t="s">
        <v>25</v>
      </c>
      <c r="C98" s="23">
        <v>2.4500000000000002</v>
      </c>
    </row>
    <row r="99" spans="1:4" x14ac:dyDescent="0.15">
      <c r="A99" s="5">
        <v>41679</v>
      </c>
      <c r="B99" t="s">
        <v>77</v>
      </c>
      <c r="C99" s="23">
        <v>19.23</v>
      </c>
    </row>
    <row r="100" spans="1:4" x14ac:dyDescent="0.15">
      <c r="A100" s="5">
        <v>41679</v>
      </c>
      <c r="B100" t="s">
        <v>144</v>
      </c>
      <c r="C100" s="23">
        <v>181.82</v>
      </c>
      <c r="D100" s="17" t="s">
        <v>224</v>
      </c>
    </row>
    <row r="101" spans="1:4" x14ac:dyDescent="0.15">
      <c r="A101" s="5">
        <v>41680</v>
      </c>
      <c r="B101" t="s">
        <v>25</v>
      </c>
      <c r="C101" s="23">
        <v>5.39</v>
      </c>
    </row>
    <row r="102" spans="1:4" x14ac:dyDescent="0.15">
      <c r="A102" s="5">
        <v>41680</v>
      </c>
      <c r="B102" t="s">
        <v>77</v>
      </c>
      <c r="C102" s="23">
        <v>8.4600000000000009</v>
      </c>
    </row>
    <row r="103" spans="1:4" x14ac:dyDescent="0.15">
      <c r="A103" s="5">
        <v>41680</v>
      </c>
      <c r="B103" t="s">
        <v>91</v>
      </c>
      <c r="C103" s="23">
        <v>77.52</v>
      </c>
    </row>
    <row r="104" spans="1:4" x14ac:dyDescent="0.15">
      <c r="A104" s="5">
        <v>41681</v>
      </c>
      <c r="B104" t="s">
        <v>25</v>
      </c>
      <c r="C104" s="23">
        <v>17.29</v>
      </c>
    </row>
    <row r="105" spans="1:4" x14ac:dyDescent="0.15">
      <c r="A105" s="5">
        <v>41681</v>
      </c>
      <c r="B105" s="36" t="s">
        <v>200</v>
      </c>
      <c r="C105" s="23">
        <v>18.5</v>
      </c>
    </row>
    <row r="106" spans="1:4" x14ac:dyDescent="0.15">
      <c r="A106" s="5">
        <v>41681</v>
      </c>
      <c r="B106" t="s">
        <v>53</v>
      </c>
      <c r="C106" s="23">
        <v>3</v>
      </c>
      <c r="D106" s="17" t="s">
        <v>93</v>
      </c>
    </row>
    <row r="107" spans="1:4" x14ac:dyDescent="0.15">
      <c r="A107" s="5">
        <v>41681</v>
      </c>
      <c r="B107" t="s">
        <v>53</v>
      </c>
      <c r="C107" s="23">
        <v>1.5</v>
      </c>
      <c r="D107" s="17" t="s">
        <v>93</v>
      </c>
    </row>
    <row r="108" spans="1:4" x14ac:dyDescent="0.15">
      <c r="A108" s="5">
        <v>41681</v>
      </c>
      <c r="B108" t="s">
        <v>33</v>
      </c>
      <c r="C108" s="23">
        <v>1479.95</v>
      </c>
      <c r="D108" s="17" t="s">
        <v>34</v>
      </c>
    </row>
    <row r="109" spans="1:4" x14ac:dyDescent="0.15">
      <c r="A109" s="5">
        <v>41681</v>
      </c>
      <c r="B109" t="s">
        <v>33</v>
      </c>
      <c r="C109" s="23">
        <v>159.88</v>
      </c>
      <c r="D109" s="17" t="s">
        <v>225</v>
      </c>
    </row>
    <row r="110" spans="1:4" x14ac:dyDescent="0.15">
      <c r="A110" s="5">
        <v>41681</v>
      </c>
      <c r="B110" t="s">
        <v>23</v>
      </c>
      <c r="C110" s="23">
        <v>4.99</v>
      </c>
    </row>
    <row r="111" spans="1:4" x14ac:dyDescent="0.15">
      <c r="A111" s="5">
        <v>41681</v>
      </c>
      <c r="B111" t="s">
        <v>25</v>
      </c>
      <c r="C111" s="23">
        <v>5.39</v>
      </c>
    </row>
    <row r="112" spans="1:4" x14ac:dyDescent="0.15">
      <c r="A112" s="5">
        <v>41681</v>
      </c>
      <c r="B112" t="s">
        <v>45</v>
      </c>
      <c r="C112" s="23">
        <v>19.899999999999999</v>
      </c>
    </row>
    <row r="113" spans="1:4" x14ac:dyDescent="0.15">
      <c r="A113" s="5">
        <v>41681</v>
      </c>
      <c r="B113" t="s">
        <v>25</v>
      </c>
      <c r="C113" s="23">
        <v>23.23</v>
      </c>
    </row>
    <row r="114" spans="1:4" x14ac:dyDescent="0.15">
      <c r="A114" s="5">
        <v>41681</v>
      </c>
      <c r="B114" t="s">
        <v>25</v>
      </c>
      <c r="C114" s="23">
        <v>6.41</v>
      </c>
    </row>
    <row r="115" spans="1:4" x14ac:dyDescent="0.15">
      <c r="A115" s="5">
        <v>41681</v>
      </c>
      <c r="B115" t="s">
        <v>77</v>
      </c>
      <c r="C115" s="23">
        <f>48.38 - 9.98</f>
        <v>38.400000000000006</v>
      </c>
      <c r="D115" s="37" t="s">
        <v>301</v>
      </c>
    </row>
    <row r="116" spans="1:4" x14ac:dyDescent="0.15">
      <c r="A116" s="5">
        <v>41681</v>
      </c>
      <c r="B116" t="s">
        <v>91</v>
      </c>
      <c r="C116" s="23">
        <v>97.52</v>
      </c>
      <c r="D116" s="17" t="s">
        <v>92</v>
      </c>
    </row>
    <row r="117" spans="1:4" x14ac:dyDescent="0.15">
      <c r="A117" s="5">
        <v>41681</v>
      </c>
      <c r="B117" t="s">
        <v>77</v>
      </c>
      <c r="C117" s="23">
        <v>48.38</v>
      </c>
      <c r="D117" s="37" t="s">
        <v>306</v>
      </c>
    </row>
    <row r="118" spans="1:4" x14ac:dyDescent="0.15">
      <c r="A118" s="5">
        <v>41681</v>
      </c>
      <c r="B118" t="s">
        <v>97</v>
      </c>
      <c r="C118" s="23">
        <v>10.5</v>
      </c>
      <c r="D118" s="17" t="s">
        <v>94</v>
      </c>
    </row>
    <row r="119" spans="1:4" x14ac:dyDescent="0.15">
      <c r="A119" s="5">
        <v>41681</v>
      </c>
      <c r="B119" t="s">
        <v>29</v>
      </c>
      <c r="C119" s="23">
        <v>9.9499999999999993</v>
      </c>
    </row>
    <row r="120" spans="1:4" x14ac:dyDescent="0.15">
      <c r="A120" s="5">
        <v>41681</v>
      </c>
      <c r="B120" t="s">
        <v>29</v>
      </c>
      <c r="C120" s="23">
        <v>14.75</v>
      </c>
    </row>
    <row r="121" spans="1:4" x14ac:dyDescent="0.15">
      <c r="A121" s="5">
        <v>41681</v>
      </c>
      <c r="B121" s="36" t="s">
        <v>199</v>
      </c>
      <c r="C121" s="23">
        <v>9.98</v>
      </c>
      <c r="D121" s="37" t="s">
        <v>302</v>
      </c>
    </row>
    <row r="122" spans="1:4" x14ac:dyDescent="0.15">
      <c r="A122" s="5">
        <v>41682</v>
      </c>
      <c r="B122" t="s">
        <v>223</v>
      </c>
      <c r="C122" s="23">
        <v>19.059999999999999</v>
      </c>
    </row>
    <row r="123" spans="1:4" x14ac:dyDescent="0.15">
      <c r="A123" s="5">
        <v>41682</v>
      </c>
      <c r="B123" t="s">
        <v>29</v>
      </c>
      <c r="C123" s="23">
        <v>9.9600000000000009</v>
      </c>
    </row>
    <row r="124" spans="1:4" x14ac:dyDescent="0.15">
      <c r="A124" s="5">
        <v>41683</v>
      </c>
      <c r="B124" t="s">
        <v>45</v>
      </c>
      <c r="C124" s="23">
        <v>23</v>
      </c>
      <c r="D124" s="17" t="s">
        <v>195</v>
      </c>
    </row>
    <row r="125" spans="1:4" x14ac:dyDescent="0.15">
      <c r="A125" s="5">
        <v>41683</v>
      </c>
      <c r="B125" t="s">
        <v>0</v>
      </c>
      <c r="C125" s="23">
        <v>61.7</v>
      </c>
    </row>
    <row r="126" spans="1:4" x14ac:dyDescent="0.15">
      <c r="A126" s="5">
        <v>41683</v>
      </c>
      <c r="B126" t="s">
        <v>77</v>
      </c>
      <c r="C126" s="23">
        <v>48.05</v>
      </c>
      <c r="D126" s="37" t="s">
        <v>292</v>
      </c>
    </row>
    <row r="127" spans="1:4" x14ac:dyDescent="0.15">
      <c r="A127" s="5">
        <v>41683</v>
      </c>
      <c r="B127" t="s">
        <v>149</v>
      </c>
      <c r="C127" s="23">
        <v>34.950000000000003</v>
      </c>
      <c r="D127" s="37" t="s">
        <v>292</v>
      </c>
    </row>
    <row r="128" spans="1:4" x14ac:dyDescent="0.15">
      <c r="A128" s="5">
        <v>41683</v>
      </c>
      <c r="B128" s="36" t="s">
        <v>155</v>
      </c>
      <c r="C128" s="23">
        <v>13.57</v>
      </c>
      <c r="D128" s="37" t="s">
        <v>292</v>
      </c>
    </row>
    <row r="129" spans="1:4" x14ac:dyDescent="0.15">
      <c r="A129" s="5">
        <v>41684</v>
      </c>
      <c r="B129" t="s">
        <v>67</v>
      </c>
      <c r="C129" s="23">
        <v>58.5</v>
      </c>
    </row>
    <row r="130" spans="1:4" x14ac:dyDescent="0.15">
      <c r="A130" s="5">
        <v>41684</v>
      </c>
      <c r="B130" t="s">
        <v>134</v>
      </c>
      <c r="C130" s="23">
        <v>58.5</v>
      </c>
    </row>
    <row r="131" spans="1:4" x14ac:dyDescent="0.15">
      <c r="A131" s="5">
        <v>41684</v>
      </c>
      <c r="B131" t="s">
        <v>25</v>
      </c>
      <c r="C131" s="23">
        <v>7.27</v>
      </c>
      <c r="D131" s="17" t="s">
        <v>52</v>
      </c>
    </row>
    <row r="132" spans="1:4" x14ac:dyDescent="0.15">
      <c r="A132" s="5">
        <v>41684</v>
      </c>
      <c r="B132" t="s">
        <v>29</v>
      </c>
      <c r="C132" s="23">
        <v>10.56</v>
      </c>
    </row>
    <row r="133" spans="1:4" x14ac:dyDescent="0.15">
      <c r="A133" s="5">
        <v>41684</v>
      </c>
      <c r="B133" t="s">
        <v>29</v>
      </c>
      <c r="C133" s="23">
        <v>10.56</v>
      </c>
    </row>
    <row r="134" spans="1:4" x14ac:dyDescent="0.15">
      <c r="A134" s="5">
        <v>41685</v>
      </c>
      <c r="B134" t="s">
        <v>25</v>
      </c>
      <c r="C134" s="23">
        <v>13.03</v>
      </c>
    </row>
    <row r="135" spans="1:4" x14ac:dyDescent="0.15">
      <c r="A135" s="5">
        <v>41685</v>
      </c>
      <c r="B135" t="s">
        <v>62</v>
      </c>
      <c r="C135" s="23">
        <v>13.95</v>
      </c>
      <c r="D135" s="17" t="s">
        <v>68</v>
      </c>
    </row>
    <row r="136" spans="1:4" x14ac:dyDescent="0.15">
      <c r="A136" s="5">
        <v>41685</v>
      </c>
      <c r="B136" t="s">
        <v>97</v>
      </c>
      <c r="C136" s="23">
        <v>13.95</v>
      </c>
      <c r="D136" s="17" t="s">
        <v>68</v>
      </c>
    </row>
    <row r="137" spans="1:4" x14ac:dyDescent="0.15">
      <c r="A137" s="5">
        <v>41689</v>
      </c>
      <c r="B137" t="s">
        <v>33</v>
      </c>
      <c r="C137" s="23">
        <v>7</v>
      </c>
      <c r="D137" s="17" t="s">
        <v>61</v>
      </c>
    </row>
    <row r="138" spans="1:4" x14ac:dyDescent="0.15">
      <c r="A138" s="5">
        <v>41689</v>
      </c>
      <c r="B138" t="s">
        <v>25</v>
      </c>
      <c r="C138" s="23">
        <v>7.27</v>
      </c>
    </row>
    <row r="139" spans="1:4" x14ac:dyDescent="0.15">
      <c r="A139" s="5">
        <v>41689</v>
      </c>
      <c r="B139" t="s">
        <v>214</v>
      </c>
      <c r="C139" s="23">
        <v>7.27</v>
      </c>
    </row>
    <row r="140" spans="1:4" x14ac:dyDescent="0.15">
      <c r="A140" s="5">
        <v>41689</v>
      </c>
      <c r="B140" t="s">
        <v>97</v>
      </c>
      <c r="C140" s="23">
        <v>35</v>
      </c>
      <c r="D140" s="17" t="s">
        <v>94</v>
      </c>
    </row>
    <row r="141" spans="1:4" x14ac:dyDescent="0.15">
      <c r="A141" s="5">
        <v>41689</v>
      </c>
      <c r="B141" t="s">
        <v>29</v>
      </c>
      <c r="C141" s="23">
        <v>15.35</v>
      </c>
    </row>
    <row r="142" spans="1:4" x14ac:dyDescent="0.15">
      <c r="A142" s="5">
        <v>41689</v>
      </c>
      <c r="B142" t="s">
        <v>29</v>
      </c>
      <c r="C142" s="23">
        <v>17.149999999999999</v>
      </c>
    </row>
    <row r="143" spans="1:4" x14ac:dyDescent="0.15">
      <c r="A143" s="5">
        <v>41689</v>
      </c>
      <c r="B143" t="s">
        <v>29</v>
      </c>
      <c r="C143" s="23">
        <v>17.149999999999999</v>
      </c>
    </row>
    <row r="144" spans="1:4" x14ac:dyDescent="0.15">
      <c r="A144" s="5">
        <v>41689</v>
      </c>
      <c r="B144" t="s">
        <v>29</v>
      </c>
      <c r="C144" s="23">
        <v>15.35</v>
      </c>
    </row>
    <row r="145" spans="1:4" x14ac:dyDescent="0.15">
      <c r="A145" s="5">
        <v>41690</v>
      </c>
      <c r="B145" t="s">
        <v>53</v>
      </c>
      <c r="C145" s="23">
        <v>35</v>
      </c>
      <c r="D145" s="17" t="s">
        <v>54</v>
      </c>
    </row>
    <row r="146" spans="1:4" x14ac:dyDescent="0.15">
      <c r="A146" s="5">
        <v>41690</v>
      </c>
      <c r="B146" t="s">
        <v>59</v>
      </c>
      <c r="C146" s="23">
        <v>75</v>
      </c>
    </row>
    <row r="147" spans="1:4" x14ac:dyDescent="0.15">
      <c r="A147" s="5">
        <v>41690</v>
      </c>
      <c r="B147" t="s">
        <v>88</v>
      </c>
      <c r="C147" s="23">
        <v>45</v>
      </c>
    </row>
    <row r="148" spans="1:4" x14ac:dyDescent="0.15">
      <c r="A148" s="5">
        <v>41690</v>
      </c>
      <c r="B148" t="s">
        <v>102</v>
      </c>
      <c r="C148" s="23">
        <v>312.98</v>
      </c>
      <c r="D148" s="17" t="s">
        <v>217</v>
      </c>
    </row>
    <row r="149" spans="1:4" x14ac:dyDescent="0.15">
      <c r="A149" s="5">
        <v>41691</v>
      </c>
      <c r="B149" s="3" t="s">
        <v>101</v>
      </c>
      <c r="C149" s="23">
        <v>92.98</v>
      </c>
    </row>
    <row r="150" spans="1:4" x14ac:dyDescent="0.15">
      <c r="A150" s="5">
        <v>41691</v>
      </c>
      <c r="B150" s="36" t="s">
        <v>152</v>
      </c>
      <c r="C150" s="23">
        <v>30.92</v>
      </c>
      <c r="D150" s="37" t="s">
        <v>189</v>
      </c>
    </row>
    <row r="151" spans="1:4" x14ac:dyDescent="0.15">
      <c r="A151" s="5">
        <v>41692</v>
      </c>
      <c r="B151" t="s">
        <v>177</v>
      </c>
      <c r="C151" s="23">
        <v>9</v>
      </c>
      <c r="D151" s="17" t="s">
        <v>226</v>
      </c>
    </row>
    <row r="152" spans="1:4" x14ac:dyDescent="0.15">
      <c r="A152" s="5">
        <v>41692</v>
      </c>
      <c r="B152" t="s">
        <v>100</v>
      </c>
      <c r="C152" s="23">
        <v>132.53</v>
      </c>
      <c r="D152" s="17" t="s">
        <v>227</v>
      </c>
    </row>
    <row r="153" spans="1:4" x14ac:dyDescent="0.15">
      <c r="A153" s="5">
        <v>41692</v>
      </c>
      <c r="B153" t="s">
        <v>155</v>
      </c>
      <c r="C153" s="23">
        <v>60.6</v>
      </c>
      <c r="D153" s="17" t="s">
        <v>228</v>
      </c>
    </row>
    <row r="154" spans="1:4" x14ac:dyDescent="0.15">
      <c r="A154" s="5">
        <v>41692</v>
      </c>
      <c r="B154" t="s">
        <v>155</v>
      </c>
      <c r="C154" s="23">
        <v>12</v>
      </c>
      <c r="D154" s="17" t="s">
        <v>229</v>
      </c>
    </row>
    <row r="155" spans="1:4" x14ac:dyDescent="0.15">
      <c r="A155" s="5">
        <v>41693</v>
      </c>
      <c r="B155" t="s">
        <v>214</v>
      </c>
      <c r="C155" s="23">
        <v>13.07</v>
      </c>
      <c r="D155" s="17" t="s">
        <v>230</v>
      </c>
    </row>
    <row r="156" spans="1:4" x14ac:dyDescent="0.15">
      <c r="A156" s="5">
        <v>41695</v>
      </c>
      <c r="B156" t="s">
        <v>74</v>
      </c>
      <c r="C156" s="23">
        <v>26.94</v>
      </c>
      <c r="D156" s="17" t="s">
        <v>232</v>
      </c>
    </row>
    <row r="157" spans="1:4" x14ac:dyDescent="0.15">
      <c r="A157" s="5">
        <v>41695</v>
      </c>
      <c r="B157" t="s">
        <v>186</v>
      </c>
      <c r="C157" s="23">
        <v>300</v>
      </c>
      <c r="D157" s="17" t="s">
        <v>231</v>
      </c>
    </row>
    <row r="158" spans="1:4" x14ac:dyDescent="0.15">
      <c r="A158" s="5">
        <v>41695</v>
      </c>
      <c r="B158" t="s">
        <v>233</v>
      </c>
      <c r="C158" s="23">
        <v>706.73</v>
      </c>
      <c r="D158" s="17" t="s">
        <v>234</v>
      </c>
    </row>
    <row r="159" spans="1:4" x14ac:dyDescent="0.15">
      <c r="A159" s="5">
        <v>41696</v>
      </c>
      <c r="B159" t="s">
        <v>105</v>
      </c>
      <c r="C159" s="23">
        <v>100</v>
      </c>
    </row>
    <row r="160" spans="1:4" x14ac:dyDescent="0.15">
      <c r="A160" s="5">
        <v>41696</v>
      </c>
      <c r="B160" t="s">
        <v>104</v>
      </c>
      <c r="C160" s="23">
        <v>100</v>
      </c>
    </row>
    <row r="161" spans="1:4" x14ac:dyDescent="0.15">
      <c r="A161" s="5">
        <v>41697</v>
      </c>
      <c r="B161" t="s">
        <v>89</v>
      </c>
      <c r="C161" s="23">
        <v>500</v>
      </c>
    </row>
    <row r="162" spans="1:4" x14ac:dyDescent="0.15">
      <c r="A162" s="5">
        <v>41697</v>
      </c>
      <c r="B162" t="s">
        <v>77</v>
      </c>
      <c r="C162" s="23">
        <v>12.76</v>
      </c>
    </row>
    <row r="163" spans="1:4" x14ac:dyDescent="0.15">
      <c r="A163" s="5">
        <v>41697</v>
      </c>
      <c r="B163" t="s">
        <v>28</v>
      </c>
      <c r="C163" s="23">
        <v>170.12</v>
      </c>
      <c r="D163" s="37" t="s">
        <v>290</v>
      </c>
    </row>
    <row r="164" spans="1:4" x14ac:dyDescent="0.15">
      <c r="A164" s="5">
        <v>41697</v>
      </c>
      <c r="B164" s="36" t="s">
        <v>152</v>
      </c>
      <c r="C164" s="23">
        <v>25.33</v>
      </c>
      <c r="D164" s="37" t="s">
        <v>290</v>
      </c>
    </row>
    <row r="165" spans="1:4" x14ac:dyDescent="0.15">
      <c r="A165" s="5">
        <v>41698</v>
      </c>
      <c r="B165" s="36" t="s">
        <v>24</v>
      </c>
      <c r="C165" s="23">
        <v>6.23</v>
      </c>
    </row>
    <row r="166" spans="1:4" x14ac:dyDescent="0.15">
      <c r="A166" s="5">
        <v>41698</v>
      </c>
      <c r="B166" t="s">
        <v>28</v>
      </c>
      <c r="C166" s="23">
        <v>12.78</v>
      </c>
      <c r="D166" s="17" t="s">
        <v>235</v>
      </c>
    </row>
    <row r="167" spans="1:4" x14ac:dyDescent="0.15">
      <c r="A167" s="5">
        <v>41698</v>
      </c>
      <c r="B167" t="s">
        <v>62</v>
      </c>
      <c r="C167" s="23">
        <f>44.2*5</f>
        <v>221</v>
      </c>
      <c r="D167" s="17" t="s">
        <v>63</v>
      </c>
    </row>
    <row r="168" spans="1:4" x14ac:dyDescent="0.15">
      <c r="A168" s="5">
        <v>41698</v>
      </c>
      <c r="B168" t="s">
        <v>41</v>
      </c>
      <c r="C168" s="23">
        <v>1000</v>
      </c>
    </row>
    <row r="169" spans="1:4" x14ac:dyDescent="0.15">
      <c r="A169" s="5">
        <v>41699</v>
      </c>
      <c r="B169" t="s">
        <v>95</v>
      </c>
      <c r="C169" s="23">
        <v>25.25</v>
      </c>
      <c r="D169" s="17" t="s">
        <v>236</v>
      </c>
    </row>
    <row r="170" spans="1:4" x14ac:dyDescent="0.15">
      <c r="A170" s="5">
        <v>41699</v>
      </c>
      <c r="B170" t="s">
        <v>96</v>
      </c>
      <c r="C170" s="23">
        <v>15</v>
      </c>
      <c r="D170" s="17" t="s">
        <v>236</v>
      </c>
    </row>
    <row r="171" spans="1:4" x14ac:dyDescent="0.15">
      <c r="A171" s="5">
        <v>41702</v>
      </c>
      <c r="B171" t="s">
        <v>53</v>
      </c>
      <c r="C171" s="23">
        <v>3</v>
      </c>
      <c r="D171" s="17" t="s">
        <v>237</v>
      </c>
    </row>
    <row r="172" spans="1:4" x14ac:dyDescent="0.15">
      <c r="A172" s="5">
        <v>41702</v>
      </c>
      <c r="B172" t="s">
        <v>177</v>
      </c>
      <c r="C172" s="23">
        <v>3</v>
      </c>
      <c r="D172" s="17" t="s">
        <v>238</v>
      </c>
    </row>
    <row r="173" spans="1:4" x14ac:dyDescent="0.15">
      <c r="A173" s="5">
        <v>41702</v>
      </c>
      <c r="B173" t="s">
        <v>155</v>
      </c>
      <c r="C173" s="23">
        <v>145.91</v>
      </c>
      <c r="D173" s="17" t="s">
        <v>156</v>
      </c>
    </row>
    <row r="174" spans="1:4" x14ac:dyDescent="0.15">
      <c r="A174" s="5">
        <v>41702</v>
      </c>
      <c r="B174" t="s">
        <v>135</v>
      </c>
      <c r="C174" s="23">
        <v>77.31</v>
      </c>
    </row>
    <row r="175" spans="1:4" x14ac:dyDescent="0.15">
      <c r="A175" s="5">
        <v>41702</v>
      </c>
      <c r="B175" t="s">
        <v>24</v>
      </c>
      <c r="C175" s="23">
        <v>23.13</v>
      </c>
    </row>
    <row r="176" spans="1:4" x14ac:dyDescent="0.15">
      <c r="A176" s="5">
        <v>41702</v>
      </c>
      <c r="B176" t="s">
        <v>25</v>
      </c>
      <c r="C176" s="23">
        <v>18.91</v>
      </c>
    </row>
    <row r="177" spans="1:4" x14ac:dyDescent="0.15">
      <c r="A177" s="5">
        <v>41702</v>
      </c>
      <c r="B177" t="s">
        <v>25</v>
      </c>
      <c r="C177" s="23">
        <v>22.86</v>
      </c>
      <c r="D177" s="17" t="s">
        <v>239</v>
      </c>
    </row>
    <row r="178" spans="1:4" x14ac:dyDescent="0.15">
      <c r="A178" s="5">
        <v>41702</v>
      </c>
      <c r="B178" t="s">
        <v>28</v>
      </c>
      <c r="C178" s="23">
        <v>79.19</v>
      </c>
    </row>
    <row r="179" spans="1:4" x14ac:dyDescent="0.15">
      <c r="A179" s="5">
        <v>41702</v>
      </c>
      <c r="B179" t="s">
        <v>77</v>
      </c>
      <c r="C179" s="23">
        <v>6.99</v>
      </c>
    </row>
    <row r="180" spans="1:4" x14ac:dyDescent="0.15">
      <c r="A180" s="5">
        <v>41702</v>
      </c>
      <c r="B180" t="s">
        <v>77</v>
      </c>
      <c r="C180" s="23">
        <v>26.99</v>
      </c>
      <c r="D180" s="37" t="s">
        <v>300</v>
      </c>
    </row>
    <row r="181" spans="1:4" x14ac:dyDescent="0.15">
      <c r="A181" s="5">
        <v>41702</v>
      </c>
      <c r="B181" t="s">
        <v>20</v>
      </c>
      <c r="C181" s="23">
        <v>25</v>
      </c>
      <c r="D181" s="17" t="s">
        <v>236</v>
      </c>
    </row>
    <row r="182" spans="1:4" x14ac:dyDescent="0.15">
      <c r="A182" s="5">
        <v>41702</v>
      </c>
      <c r="B182" t="s">
        <v>181</v>
      </c>
      <c r="C182" s="23">
        <v>71.86</v>
      </c>
      <c r="D182" s="37" t="s">
        <v>180</v>
      </c>
    </row>
    <row r="183" spans="1:4" x14ac:dyDescent="0.15">
      <c r="A183" s="5">
        <v>41702</v>
      </c>
      <c r="B183" t="s">
        <v>214</v>
      </c>
      <c r="C183" s="23">
        <v>26.13</v>
      </c>
      <c r="D183" s="17" t="s">
        <v>240</v>
      </c>
    </row>
    <row r="184" spans="1:4" x14ac:dyDescent="0.15">
      <c r="A184" s="5">
        <v>41702</v>
      </c>
      <c r="B184" t="s">
        <v>29</v>
      </c>
      <c r="C184" s="23">
        <v>7.56</v>
      </c>
      <c r="D184" s="17" t="s">
        <v>202</v>
      </c>
    </row>
    <row r="185" spans="1:4" x14ac:dyDescent="0.15">
      <c r="A185" s="5">
        <v>41702</v>
      </c>
      <c r="B185" t="s">
        <v>29</v>
      </c>
      <c r="C185" s="23">
        <v>11.16</v>
      </c>
      <c r="D185" s="17" t="s">
        <v>202</v>
      </c>
    </row>
    <row r="186" spans="1:4" x14ac:dyDescent="0.15">
      <c r="A186" s="5">
        <v>41703</v>
      </c>
      <c r="B186" t="s">
        <v>134</v>
      </c>
      <c r="C186" s="23">
        <v>102.5</v>
      </c>
    </row>
    <row r="187" spans="1:4" x14ac:dyDescent="0.15">
      <c r="A187" s="5">
        <v>41703</v>
      </c>
      <c r="B187" t="s">
        <v>134</v>
      </c>
      <c r="C187" s="23">
        <v>89</v>
      </c>
    </row>
    <row r="188" spans="1:4" x14ac:dyDescent="0.15">
      <c r="A188" s="5">
        <v>41703</v>
      </c>
      <c r="B188" t="s">
        <v>2</v>
      </c>
      <c r="C188" s="23">
        <v>1000</v>
      </c>
      <c r="D188" s="17" t="s">
        <v>35</v>
      </c>
    </row>
    <row r="189" spans="1:4" x14ac:dyDescent="0.15">
      <c r="A189" s="5">
        <v>41703</v>
      </c>
      <c r="B189" t="s">
        <v>2</v>
      </c>
      <c r="C189" s="23">
        <v>7</v>
      </c>
      <c r="D189" s="17" t="s">
        <v>113</v>
      </c>
    </row>
    <row r="190" spans="1:4" x14ac:dyDescent="0.15">
      <c r="A190" s="5">
        <v>41703</v>
      </c>
      <c r="B190" t="s">
        <v>41</v>
      </c>
      <c r="C190" s="23">
        <v>1000</v>
      </c>
    </row>
    <row r="191" spans="1:4" x14ac:dyDescent="0.15">
      <c r="A191" s="5">
        <v>41704</v>
      </c>
      <c r="B191" t="s">
        <v>22</v>
      </c>
      <c r="C191" s="23">
        <v>4.99</v>
      </c>
    </row>
    <row r="192" spans="1:4" x14ac:dyDescent="0.15">
      <c r="A192" s="5">
        <v>41704</v>
      </c>
      <c r="B192" t="s">
        <v>22</v>
      </c>
      <c r="C192" s="23">
        <v>4.99</v>
      </c>
      <c r="D192" s="17" t="s">
        <v>241</v>
      </c>
    </row>
    <row r="193" spans="1:4" x14ac:dyDescent="0.15">
      <c r="A193" s="5">
        <v>41705</v>
      </c>
      <c r="B193" t="s">
        <v>155</v>
      </c>
      <c r="C193" s="23">
        <v>100</v>
      </c>
    </row>
    <row r="194" spans="1:4" x14ac:dyDescent="0.15">
      <c r="A194" s="5">
        <v>41705</v>
      </c>
      <c r="B194" t="s">
        <v>24</v>
      </c>
      <c r="C194" s="23">
        <v>3.26</v>
      </c>
    </row>
    <row r="195" spans="1:4" x14ac:dyDescent="0.15">
      <c r="A195" s="5">
        <v>41706</v>
      </c>
      <c r="B195" t="s">
        <v>21</v>
      </c>
      <c r="C195" s="23">
        <v>5</v>
      </c>
    </row>
    <row r="196" spans="1:4" x14ac:dyDescent="0.15">
      <c r="A196" s="5">
        <v>41706</v>
      </c>
      <c r="B196" t="s">
        <v>26</v>
      </c>
      <c r="C196" s="23">
        <v>24</v>
      </c>
    </row>
    <row r="197" spans="1:4" x14ac:dyDescent="0.15">
      <c r="A197" s="5">
        <v>41706</v>
      </c>
      <c r="B197" t="s">
        <v>22</v>
      </c>
      <c r="C197" s="23">
        <v>4.99</v>
      </c>
    </row>
    <row r="198" spans="1:4" x14ac:dyDescent="0.15">
      <c r="A198" s="5">
        <v>41706</v>
      </c>
      <c r="B198" t="s">
        <v>24</v>
      </c>
      <c r="C198" s="23">
        <v>10.97</v>
      </c>
    </row>
    <row r="199" spans="1:4" x14ac:dyDescent="0.15">
      <c r="A199" s="5">
        <v>41706</v>
      </c>
      <c r="B199" t="s">
        <v>25</v>
      </c>
      <c r="C199" s="23">
        <v>18.12</v>
      </c>
    </row>
    <row r="200" spans="1:4" x14ac:dyDescent="0.15">
      <c r="A200" s="5">
        <v>41706</v>
      </c>
      <c r="B200" t="s">
        <v>25</v>
      </c>
      <c r="C200" s="23">
        <v>10.97</v>
      </c>
    </row>
    <row r="201" spans="1:4" x14ac:dyDescent="0.15">
      <c r="A201" s="5">
        <v>41706</v>
      </c>
      <c r="B201" t="s">
        <v>27</v>
      </c>
      <c r="C201" s="23">
        <v>26.38</v>
      </c>
      <c r="D201" s="37" t="s">
        <v>305</v>
      </c>
    </row>
    <row r="202" spans="1:4" x14ac:dyDescent="0.15">
      <c r="A202" s="5">
        <v>41706</v>
      </c>
      <c r="B202" s="36" t="s">
        <v>214</v>
      </c>
      <c r="C202" s="23">
        <v>110</v>
      </c>
      <c r="D202" s="37" t="s">
        <v>179</v>
      </c>
    </row>
    <row r="203" spans="1:4" x14ac:dyDescent="0.15">
      <c r="A203" s="5">
        <v>41706</v>
      </c>
      <c r="B203" t="s">
        <v>19</v>
      </c>
      <c r="C203" s="23">
        <v>6.95</v>
      </c>
    </row>
    <row r="204" spans="1:4" x14ac:dyDescent="0.15">
      <c r="A204" s="5">
        <v>41707</v>
      </c>
      <c r="B204" t="s">
        <v>25</v>
      </c>
      <c r="C204" s="23">
        <v>6</v>
      </c>
    </row>
    <row r="205" spans="1:4" x14ac:dyDescent="0.15">
      <c r="A205" s="5">
        <v>41707</v>
      </c>
      <c r="B205" t="s">
        <v>25</v>
      </c>
      <c r="C205" s="23">
        <v>4.58</v>
      </c>
    </row>
    <row r="206" spans="1:4" x14ac:dyDescent="0.15">
      <c r="A206" s="5">
        <v>41707</v>
      </c>
      <c r="B206" t="s">
        <v>77</v>
      </c>
      <c r="C206" s="23">
        <v>28.29</v>
      </c>
    </row>
    <row r="207" spans="1:4" x14ac:dyDescent="0.15">
      <c r="A207" s="5">
        <v>41708</v>
      </c>
      <c r="B207" t="s">
        <v>77</v>
      </c>
      <c r="C207" s="23">
        <v>85.01</v>
      </c>
      <c r="D207" s="37" t="s">
        <v>295</v>
      </c>
    </row>
    <row r="208" spans="1:4" x14ac:dyDescent="0.15">
      <c r="A208" s="5">
        <v>41708</v>
      </c>
      <c r="B208" t="s">
        <v>75</v>
      </c>
      <c r="C208" s="23">
        <v>15.98</v>
      </c>
      <c r="D208" s="17" t="s">
        <v>78</v>
      </c>
    </row>
    <row r="209" spans="1:5" x14ac:dyDescent="0.15">
      <c r="A209" s="5">
        <v>41708</v>
      </c>
      <c r="B209" t="s">
        <v>70</v>
      </c>
      <c r="C209" s="23">
        <v>111.12</v>
      </c>
      <c r="D209" s="17" t="s">
        <v>71</v>
      </c>
      <c r="E209" s="23"/>
    </row>
    <row r="210" spans="1:5" x14ac:dyDescent="0.15">
      <c r="A210" s="5">
        <v>41708</v>
      </c>
      <c r="B210" t="s">
        <v>91</v>
      </c>
      <c r="C210" s="23">
        <v>17.98</v>
      </c>
      <c r="D210" s="37" t="s">
        <v>294</v>
      </c>
    </row>
    <row r="211" spans="1:5" x14ac:dyDescent="0.15">
      <c r="A211" s="5">
        <v>41708</v>
      </c>
      <c r="B211" t="s">
        <v>183</v>
      </c>
      <c r="C211" s="23">
        <v>4.99</v>
      </c>
      <c r="D211" s="37" t="s">
        <v>294</v>
      </c>
    </row>
    <row r="212" spans="1:5" x14ac:dyDescent="0.15">
      <c r="A212" s="5">
        <v>41709</v>
      </c>
      <c r="B212" s="36" t="s">
        <v>21</v>
      </c>
      <c r="C212" s="23">
        <v>5</v>
      </c>
      <c r="D212" s="17" t="s">
        <v>195</v>
      </c>
    </row>
    <row r="213" spans="1:5" x14ac:dyDescent="0.15">
      <c r="A213" s="5">
        <v>41709</v>
      </c>
      <c r="B213" s="36" t="s">
        <v>21</v>
      </c>
      <c r="C213" s="23">
        <v>24</v>
      </c>
      <c r="D213" s="17" t="s">
        <v>195</v>
      </c>
    </row>
    <row r="214" spans="1:5" x14ac:dyDescent="0.15">
      <c r="A214" s="5">
        <v>41709</v>
      </c>
      <c r="B214" t="s">
        <v>2</v>
      </c>
      <c r="C214" s="23">
        <v>15</v>
      </c>
      <c r="D214" s="17" t="s">
        <v>113</v>
      </c>
    </row>
    <row r="215" spans="1:5" x14ac:dyDescent="0.15">
      <c r="A215" s="5">
        <v>41709</v>
      </c>
      <c r="B215" t="s">
        <v>24</v>
      </c>
      <c r="C215" s="23">
        <v>18.12</v>
      </c>
      <c r="D215" s="17" t="s">
        <v>195</v>
      </c>
    </row>
    <row r="216" spans="1:5" x14ac:dyDescent="0.15">
      <c r="A216" s="5">
        <v>41709</v>
      </c>
      <c r="B216" t="s">
        <v>20</v>
      </c>
      <c r="C216" s="23">
        <v>30.5</v>
      </c>
    </row>
    <row r="217" spans="1:5" x14ac:dyDescent="0.15">
      <c r="A217" s="5">
        <v>41709</v>
      </c>
      <c r="B217" t="s">
        <v>19</v>
      </c>
      <c r="C217" s="23">
        <v>10.56</v>
      </c>
    </row>
    <row r="218" spans="1:5" x14ac:dyDescent="0.15">
      <c r="A218" s="5">
        <v>41710</v>
      </c>
      <c r="B218" t="s">
        <v>2</v>
      </c>
      <c r="C218" s="23">
        <v>20</v>
      </c>
      <c r="D218" s="17" t="s">
        <v>113</v>
      </c>
    </row>
    <row r="219" spans="1:5" x14ac:dyDescent="0.15">
      <c r="A219" s="5">
        <v>41710</v>
      </c>
      <c r="B219" t="s">
        <v>77</v>
      </c>
      <c r="C219" s="23">
        <v>28.29</v>
      </c>
    </row>
    <row r="220" spans="1:5" x14ac:dyDescent="0.15">
      <c r="A220" s="5">
        <v>41711</v>
      </c>
      <c r="B220" t="s">
        <v>90</v>
      </c>
      <c r="C220" s="23">
        <v>169.46</v>
      </c>
      <c r="D220" s="17" t="s">
        <v>242</v>
      </c>
    </row>
    <row r="221" spans="1:5" x14ac:dyDescent="0.15">
      <c r="A221" s="5">
        <v>41711</v>
      </c>
      <c r="B221" t="s">
        <v>2</v>
      </c>
      <c r="C221" s="23">
        <v>20</v>
      </c>
      <c r="D221" s="17" t="s">
        <v>113</v>
      </c>
    </row>
    <row r="222" spans="1:5" x14ac:dyDescent="0.15">
      <c r="A222" s="5">
        <v>41713</v>
      </c>
      <c r="B222" s="36" t="s">
        <v>155</v>
      </c>
      <c r="C222" s="23">
        <v>92.7</v>
      </c>
      <c r="D222" s="37" t="s">
        <v>188</v>
      </c>
    </row>
    <row r="223" spans="1:5" x14ac:dyDescent="0.15">
      <c r="A223" s="5">
        <v>41714</v>
      </c>
      <c r="B223" s="36" t="s">
        <v>183</v>
      </c>
      <c r="C223" s="23">
        <v>22.76</v>
      </c>
      <c r="D223" s="37" t="s">
        <v>291</v>
      </c>
    </row>
    <row r="224" spans="1:5" x14ac:dyDescent="0.15">
      <c r="A224" s="5">
        <v>41714</v>
      </c>
      <c r="B224" s="36" t="s">
        <v>24</v>
      </c>
      <c r="C224" s="23">
        <v>3.95</v>
      </c>
    </row>
    <row r="225" spans="1:4" x14ac:dyDescent="0.15">
      <c r="A225" s="5">
        <v>41714</v>
      </c>
      <c r="B225" t="s">
        <v>28</v>
      </c>
      <c r="C225" s="23">
        <v>110.56</v>
      </c>
      <c r="D225" s="37" t="s">
        <v>291</v>
      </c>
    </row>
    <row r="226" spans="1:4" x14ac:dyDescent="0.15">
      <c r="A226" s="38">
        <v>41715</v>
      </c>
      <c r="B226" t="s">
        <v>191</v>
      </c>
      <c r="C226" s="23">
        <v>3</v>
      </c>
      <c r="D226" s="37" t="s">
        <v>192</v>
      </c>
    </row>
    <row r="227" spans="1:4" x14ac:dyDescent="0.15">
      <c r="A227" s="5">
        <v>41715</v>
      </c>
      <c r="B227" s="36" t="s">
        <v>191</v>
      </c>
      <c r="C227" s="23">
        <v>2</v>
      </c>
      <c r="D227" s="37" t="s">
        <v>193</v>
      </c>
    </row>
    <row r="228" spans="1:4" x14ac:dyDescent="0.15">
      <c r="A228" s="5">
        <v>41715</v>
      </c>
      <c r="B228" t="s">
        <v>191</v>
      </c>
      <c r="C228" s="23">
        <v>2</v>
      </c>
      <c r="D228" s="17" t="s">
        <v>193</v>
      </c>
    </row>
    <row r="229" spans="1:4" x14ac:dyDescent="0.15">
      <c r="A229" s="5">
        <v>41715</v>
      </c>
      <c r="B229" s="36" t="s">
        <v>24</v>
      </c>
      <c r="C229" s="23">
        <v>10.78</v>
      </c>
      <c r="D229" s="37" t="s">
        <v>190</v>
      </c>
    </row>
    <row r="230" spans="1:4" x14ac:dyDescent="0.15">
      <c r="A230" s="5">
        <v>41715</v>
      </c>
      <c r="B230" s="36" t="s">
        <v>24</v>
      </c>
      <c r="C230" s="23">
        <v>3.26</v>
      </c>
      <c r="D230" s="17" t="s">
        <v>190</v>
      </c>
    </row>
    <row r="231" spans="1:4" x14ac:dyDescent="0.15">
      <c r="A231" s="5">
        <v>41715</v>
      </c>
      <c r="B231" s="36" t="s">
        <v>181</v>
      </c>
      <c r="C231" s="23">
        <v>39.200000000000003</v>
      </c>
      <c r="D231" s="37" t="s">
        <v>194</v>
      </c>
    </row>
    <row r="232" spans="1:4" x14ac:dyDescent="0.15">
      <c r="A232" s="5">
        <v>41715</v>
      </c>
      <c r="B232" s="36" t="s">
        <v>97</v>
      </c>
      <c r="C232" s="23">
        <v>3</v>
      </c>
      <c r="D232" s="37" t="s">
        <v>243</v>
      </c>
    </row>
    <row r="233" spans="1:4" x14ac:dyDescent="0.15">
      <c r="A233" s="5">
        <v>41715</v>
      </c>
      <c r="B233" s="36" t="s">
        <v>19</v>
      </c>
      <c r="C233" s="23">
        <v>9.36</v>
      </c>
      <c r="D233" s="37" t="s">
        <v>244</v>
      </c>
    </row>
    <row r="234" spans="1:4" x14ac:dyDescent="0.15">
      <c r="A234" s="5">
        <v>41716</v>
      </c>
      <c r="B234" t="s">
        <v>152</v>
      </c>
      <c r="C234" s="23">
        <v>10</v>
      </c>
    </row>
    <row r="235" spans="1:4" x14ac:dyDescent="0.15">
      <c r="A235" s="5">
        <v>41717</v>
      </c>
      <c r="B235" t="s">
        <v>186</v>
      </c>
      <c r="C235" s="23">
        <v>15</v>
      </c>
      <c r="D235" s="17" t="s">
        <v>187</v>
      </c>
    </row>
    <row r="236" spans="1:4" x14ac:dyDescent="0.15">
      <c r="A236" s="5">
        <v>41717</v>
      </c>
      <c r="B236" s="36" t="s">
        <v>24</v>
      </c>
      <c r="C236" s="23">
        <v>2.71</v>
      </c>
      <c r="D236" s="17" t="s">
        <v>190</v>
      </c>
    </row>
    <row r="237" spans="1:4" x14ac:dyDescent="0.15">
      <c r="A237" s="5">
        <v>41717</v>
      </c>
      <c r="B237" s="36" t="s">
        <v>152</v>
      </c>
      <c r="C237" s="23">
        <v>24.98</v>
      </c>
      <c r="D237" s="37" t="s">
        <v>245</v>
      </c>
    </row>
    <row r="238" spans="1:4" x14ac:dyDescent="0.15">
      <c r="A238" s="5">
        <v>41719</v>
      </c>
      <c r="B238" s="36" t="s">
        <v>100</v>
      </c>
      <c r="C238" s="23">
        <v>132.53</v>
      </c>
      <c r="D238" s="17" t="s">
        <v>246</v>
      </c>
    </row>
    <row r="239" spans="1:4" x14ac:dyDescent="0.15">
      <c r="A239" s="5">
        <v>41719</v>
      </c>
      <c r="B239" t="s">
        <v>91</v>
      </c>
      <c r="C239" s="23">
        <v>62.99</v>
      </c>
      <c r="D239" s="17" t="s">
        <v>247</v>
      </c>
    </row>
    <row r="240" spans="1:4" x14ac:dyDescent="0.15">
      <c r="A240" s="5">
        <v>41719</v>
      </c>
      <c r="B240" t="s">
        <v>101</v>
      </c>
      <c r="C240" s="23">
        <v>98.33</v>
      </c>
      <c r="D240" s="17" t="s">
        <v>248</v>
      </c>
    </row>
    <row r="241" spans="1:4" x14ac:dyDescent="0.15">
      <c r="A241" s="5">
        <v>41719</v>
      </c>
      <c r="C241" s="23" t="s">
        <v>249</v>
      </c>
    </row>
    <row r="242" spans="1:4" x14ac:dyDescent="0.15">
      <c r="A242" s="5">
        <v>41719</v>
      </c>
      <c r="B242" t="s">
        <v>102</v>
      </c>
      <c r="C242" s="23">
        <v>238.15</v>
      </c>
      <c r="D242" s="17" t="s">
        <v>250</v>
      </c>
    </row>
    <row r="243" spans="1:4" x14ac:dyDescent="0.15">
      <c r="A243" s="5">
        <v>41719</v>
      </c>
      <c r="C243" s="23"/>
    </row>
    <row r="244" spans="1:4" x14ac:dyDescent="0.15">
      <c r="A244" s="5">
        <v>41720</v>
      </c>
      <c r="B244" t="s">
        <v>155</v>
      </c>
      <c r="C244" s="23">
        <v>72.599999999999994</v>
      </c>
      <c r="D244" s="17" t="s">
        <v>251</v>
      </c>
    </row>
    <row r="245" spans="1:4" x14ac:dyDescent="0.15">
      <c r="A245" s="5">
        <v>41720</v>
      </c>
      <c r="B245" t="s">
        <v>155</v>
      </c>
      <c r="C245" s="23">
        <v>20</v>
      </c>
      <c r="D245" s="17" t="s">
        <v>252</v>
      </c>
    </row>
    <row r="246" spans="1:4" x14ac:dyDescent="0.15">
      <c r="A246" s="5">
        <v>41720</v>
      </c>
      <c r="B246" t="s">
        <v>181</v>
      </c>
      <c r="C246" s="23">
        <v>5.93</v>
      </c>
      <c r="D246" s="17" t="s">
        <v>253</v>
      </c>
    </row>
    <row r="247" spans="1:4" x14ac:dyDescent="0.15">
      <c r="A247" s="5">
        <v>41720</v>
      </c>
      <c r="B247" t="s">
        <v>28</v>
      </c>
      <c r="C247" s="23">
        <v>5.99</v>
      </c>
      <c r="D247" s="17" t="s">
        <v>254</v>
      </c>
    </row>
    <row r="248" spans="1:4" x14ac:dyDescent="0.15">
      <c r="A248" s="5">
        <v>41720</v>
      </c>
      <c r="B248" t="s">
        <v>28</v>
      </c>
      <c r="C248" s="23">
        <v>100</v>
      </c>
      <c r="D248" s="17" t="s">
        <v>255</v>
      </c>
    </row>
    <row r="249" spans="1:4" x14ac:dyDescent="0.15">
      <c r="A249" s="5">
        <v>41720</v>
      </c>
      <c r="B249" t="s">
        <v>20</v>
      </c>
      <c r="C249" s="23">
        <v>24</v>
      </c>
      <c r="D249" s="17" t="s">
        <v>256</v>
      </c>
    </row>
    <row r="250" spans="1:4" x14ac:dyDescent="0.15">
      <c r="A250" s="5">
        <v>41720</v>
      </c>
      <c r="B250" t="s">
        <v>181</v>
      </c>
      <c r="C250" s="23">
        <v>63.7</v>
      </c>
      <c r="D250" s="17" t="s">
        <v>257</v>
      </c>
    </row>
    <row r="251" spans="1:4" x14ac:dyDescent="0.15">
      <c r="A251" s="5">
        <v>41720</v>
      </c>
      <c r="B251" t="s">
        <v>181</v>
      </c>
      <c r="C251" s="23">
        <v>15</v>
      </c>
      <c r="D251" s="17" t="s">
        <v>258</v>
      </c>
    </row>
    <row r="252" spans="1:4" x14ac:dyDescent="0.15">
      <c r="A252" s="5">
        <v>41720</v>
      </c>
      <c r="B252" t="s">
        <v>97</v>
      </c>
      <c r="C252" s="23">
        <v>3</v>
      </c>
      <c r="D252" s="17" t="s">
        <v>259</v>
      </c>
    </row>
    <row r="253" spans="1:4" x14ac:dyDescent="0.15">
      <c r="A253" s="5">
        <v>41720</v>
      </c>
      <c r="B253" t="s">
        <v>260</v>
      </c>
      <c r="C253" s="23">
        <v>9</v>
      </c>
      <c r="D253" s="17" t="s">
        <v>261</v>
      </c>
    </row>
    <row r="254" spans="1:4" x14ac:dyDescent="0.15">
      <c r="A254" s="5">
        <v>41720</v>
      </c>
      <c r="B254" t="s">
        <v>260</v>
      </c>
      <c r="C254" s="23">
        <v>15.35</v>
      </c>
      <c r="D254" s="17" t="s">
        <v>262</v>
      </c>
    </row>
    <row r="255" spans="1:4" x14ac:dyDescent="0.15">
      <c r="A255" s="5">
        <v>41720</v>
      </c>
      <c r="B255" t="s">
        <v>155</v>
      </c>
      <c r="C255" s="23">
        <v>60.6</v>
      </c>
      <c r="D255" s="17" t="s">
        <v>263</v>
      </c>
    </row>
    <row r="256" spans="1:4" x14ac:dyDescent="0.15">
      <c r="A256" s="5">
        <v>41720</v>
      </c>
      <c r="B256" t="s">
        <v>155</v>
      </c>
      <c r="C256" s="23">
        <v>12</v>
      </c>
      <c r="D256" s="17" t="s">
        <v>264</v>
      </c>
    </row>
    <row r="257" spans="1:4" x14ac:dyDescent="0.15">
      <c r="A257" s="5">
        <v>41721</v>
      </c>
      <c r="B257" t="s">
        <v>155</v>
      </c>
      <c r="C257" s="23">
        <v>129.56</v>
      </c>
      <c r="D257" s="17" t="s">
        <v>265</v>
      </c>
    </row>
    <row r="258" spans="1:4" x14ac:dyDescent="0.15">
      <c r="A258" s="5">
        <v>41721</v>
      </c>
      <c r="B258" t="s">
        <v>155</v>
      </c>
      <c r="C258" s="23">
        <v>18.98</v>
      </c>
      <c r="D258" s="17" t="s">
        <v>266</v>
      </c>
    </row>
    <row r="259" spans="1:4" x14ac:dyDescent="0.15">
      <c r="A259" s="5">
        <v>41721</v>
      </c>
      <c r="B259" t="s">
        <v>24</v>
      </c>
      <c r="C259" s="23">
        <v>16.07</v>
      </c>
      <c r="D259" s="17" t="s">
        <v>267</v>
      </c>
    </row>
    <row r="260" spans="1:4" x14ac:dyDescent="0.15">
      <c r="A260" s="5">
        <v>41721</v>
      </c>
      <c r="B260" t="s">
        <v>28</v>
      </c>
      <c r="C260" s="23">
        <v>72.959999999999994</v>
      </c>
      <c r="D260" s="17" t="s">
        <v>268</v>
      </c>
    </row>
    <row r="261" spans="1:4" x14ac:dyDescent="0.15">
      <c r="A261" s="5">
        <v>41721</v>
      </c>
      <c r="B261" t="s">
        <v>91</v>
      </c>
      <c r="C261" s="23">
        <v>28.29</v>
      </c>
      <c r="D261" s="17" t="s">
        <v>269</v>
      </c>
    </row>
    <row r="262" spans="1:4" x14ac:dyDescent="0.15">
      <c r="A262" s="5">
        <v>41721</v>
      </c>
      <c r="B262" t="s">
        <v>149</v>
      </c>
      <c r="C262" s="23">
        <v>69.36</v>
      </c>
      <c r="D262" s="17" t="s">
        <v>270</v>
      </c>
    </row>
    <row r="263" spans="1:4" x14ac:dyDescent="0.15">
      <c r="A263" s="5">
        <v>41721</v>
      </c>
      <c r="B263" t="s">
        <v>152</v>
      </c>
      <c r="C263" s="23">
        <v>16</v>
      </c>
      <c r="D263" s="17" t="s">
        <v>271</v>
      </c>
    </row>
    <row r="264" spans="1:4" x14ac:dyDescent="0.15">
      <c r="A264" s="5">
        <v>41721</v>
      </c>
      <c r="B264" t="s">
        <v>97</v>
      </c>
      <c r="C264" s="2">
        <v>3</v>
      </c>
      <c r="D264" s="17" t="s">
        <v>259</v>
      </c>
    </row>
    <row r="265" spans="1:4" x14ac:dyDescent="0.15">
      <c r="A265" s="5">
        <v>41721</v>
      </c>
      <c r="B265" s="36" t="s">
        <v>199</v>
      </c>
      <c r="C265" s="2">
        <v>21.65</v>
      </c>
      <c r="D265" s="37" t="s">
        <v>289</v>
      </c>
    </row>
    <row r="266" spans="1:4" x14ac:dyDescent="0.15">
      <c r="A266" s="5">
        <v>41721</v>
      </c>
      <c r="B266" t="s">
        <v>155</v>
      </c>
      <c r="C266" s="2">
        <v>18.88</v>
      </c>
      <c r="D266" s="17" t="s">
        <v>273</v>
      </c>
    </row>
    <row r="267" spans="1:4" x14ac:dyDescent="0.15">
      <c r="A267" s="5">
        <v>41721</v>
      </c>
      <c r="B267" t="s">
        <v>20</v>
      </c>
      <c r="C267" s="2">
        <v>24</v>
      </c>
      <c r="D267" s="17" t="s">
        <v>274</v>
      </c>
    </row>
    <row r="268" spans="1:4" x14ac:dyDescent="0.15">
      <c r="A268" s="5">
        <v>41721</v>
      </c>
      <c r="B268" t="s">
        <v>181</v>
      </c>
      <c r="C268" s="2">
        <v>60.26</v>
      </c>
      <c r="D268" s="17" t="s">
        <v>275</v>
      </c>
    </row>
    <row r="269" spans="1:4" x14ac:dyDescent="0.15">
      <c r="A269" s="5">
        <v>41721</v>
      </c>
      <c r="B269" t="s">
        <v>91</v>
      </c>
      <c r="C269" s="2">
        <v>16.329999999999998</v>
      </c>
      <c r="D269" s="17" t="s">
        <v>276</v>
      </c>
    </row>
    <row r="270" spans="1:4" x14ac:dyDescent="0.15">
      <c r="A270" s="5">
        <v>41724</v>
      </c>
      <c r="B270" s="36" t="s">
        <v>199</v>
      </c>
      <c r="C270" s="45">
        <v>13.32</v>
      </c>
      <c r="D270" s="17" t="s">
        <v>272</v>
      </c>
    </row>
    <row r="271" spans="1:4" x14ac:dyDescent="0.15">
      <c r="A271" s="5">
        <v>41724</v>
      </c>
      <c r="B271" t="s">
        <v>183</v>
      </c>
      <c r="C271" s="2">
        <v>14.99</v>
      </c>
      <c r="D271" s="17" t="s">
        <v>277</v>
      </c>
    </row>
    <row r="272" spans="1:4" x14ac:dyDescent="0.15">
      <c r="A272" s="5">
        <v>41724</v>
      </c>
      <c r="B272" t="s">
        <v>155</v>
      </c>
      <c r="C272" s="2">
        <v>1.99</v>
      </c>
      <c r="D272" s="17" t="s">
        <v>278</v>
      </c>
    </row>
    <row r="273" spans="1:5" x14ac:dyDescent="0.15">
      <c r="A273" s="5">
        <v>41724</v>
      </c>
      <c r="B273" t="s">
        <v>28</v>
      </c>
      <c r="C273" s="2">
        <v>30.3</v>
      </c>
      <c r="D273" s="17" t="s">
        <v>279</v>
      </c>
    </row>
    <row r="274" spans="1:5" x14ac:dyDescent="0.15">
      <c r="A274" s="5">
        <v>41681</v>
      </c>
      <c r="B274" s="36" t="s">
        <v>28</v>
      </c>
      <c r="C274" s="2">
        <v>28.38</v>
      </c>
      <c r="D274" s="17" t="s">
        <v>307</v>
      </c>
    </row>
    <row r="275" spans="1:5" x14ac:dyDescent="0.15">
      <c r="A275" s="5">
        <v>41701</v>
      </c>
      <c r="B275" s="36" t="s">
        <v>19</v>
      </c>
      <c r="C275" s="2">
        <v>12.36</v>
      </c>
      <c r="D275" s="17" t="s">
        <v>309</v>
      </c>
      <c r="E275" s="23"/>
    </row>
    <row r="276" spans="1:5" x14ac:dyDescent="0.15">
      <c r="A276" s="5">
        <v>41701</v>
      </c>
      <c r="B276" s="36" t="s">
        <v>19</v>
      </c>
      <c r="C276" s="2">
        <v>12.96</v>
      </c>
      <c r="D276" s="17" t="s">
        <v>311</v>
      </c>
    </row>
    <row r="277" spans="1:5" x14ac:dyDescent="0.15">
      <c r="B277" s="36"/>
    </row>
  </sheetData>
  <autoFilter ref="A1:D278" xr:uid="{00000000-0009-0000-0000-000001000000}">
    <sortState ref="A168:D261">
      <sortCondition ref="A1:A278"/>
    </sortState>
  </autoFilter>
  <sortState ref="A2:D138">
    <sortCondition ref="A3:A138"/>
  </sortState>
  <phoneticPr fontId="7" type="noConversion"/>
  <dataValidations count="1">
    <dataValidation type="list" allowBlank="1" showInputMessage="1" showErrorMessage="1" sqref="B2:B38 B40:B1048576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1092200</xdr:colOff>
                    <xdr:row>0</xdr:row>
                    <xdr:rowOff>50800</xdr:rowOff>
                  </from>
                  <to>
                    <xdr:col>3</xdr:col>
                    <xdr:colOff>2019300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K62"/>
  <sheetViews>
    <sheetView showGridLines="0" topLeftCell="C1" workbookViewId="0">
      <selection activeCell="H19" sqref="H19"/>
    </sheetView>
  </sheetViews>
  <sheetFormatPr baseColWidth="10" defaultRowHeight="13" x14ac:dyDescent="0.15"/>
  <cols>
    <col min="2" max="2" width="17" customWidth="1"/>
    <col min="3" max="3" width="11.5" bestFit="1" customWidth="1"/>
    <col min="5" max="5" width="38.83203125" style="1" bestFit="1" customWidth="1"/>
    <col min="6" max="6" width="22.83203125" style="1" customWidth="1"/>
    <col min="7" max="7" width="26.1640625" bestFit="1" customWidth="1"/>
    <col min="8" max="8" width="17.1640625" customWidth="1"/>
    <col min="9" max="9" width="16.83203125" customWidth="1"/>
  </cols>
  <sheetData>
    <row r="1" spans="2:11" ht="18" customHeight="1" x14ac:dyDescent="0.15">
      <c r="B1" s="8" t="s">
        <v>16</v>
      </c>
      <c r="C1" s="8" t="s">
        <v>17</v>
      </c>
      <c r="D1" s="14"/>
      <c r="F1" s="51" t="s">
        <v>313</v>
      </c>
      <c r="G1" s="8" t="s">
        <v>15</v>
      </c>
      <c r="H1" s="8" t="s">
        <v>39</v>
      </c>
      <c r="J1" s="8" t="s">
        <v>14</v>
      </c>
      <c r="K1" s="8" t="s">
        <v>40</v>
      </c>
    </row>
    <row r="2" spans="2:11" x14ac:dyDescent="0.15">
      <c r="B2" s="6" t="s">
        <v>5</v>
      </c>
      <c r="C2" s="10">
        <f t="shared" ref="C2:C7" si="0">SUMIFS(IncomeAmtLog,IncomeCatLog,B2, IncomeDateLog, "&gt;="&amp;TEXT($J$2, "mm-dd-yyyy"),IncomeDateLog, "&lt;="&amp;TEXT($K$2, "mm-dd-yyyy"))</f>
        <v>0</v>
      </c>
      <c r="D2" s="12"/>
      <c r="E2" s="1" t="str">
        <f>"BILLS:  $"&amp;SUM(H2:H8)</f>
        <v>BILLS:  $4697.69</v>
      </c>
      <c r="F2" s="59" t="s">
        <v>314</v>
      </c>
      <c r="G2" s="52" t="s">
        <v>41</v>
      </c>
      <c r="H2" s="9">
        <f>SUMIFS(expenseAmtLog, ExpenseCatLog, G2, expenseDateLog, "&gt;="&amp;TEXT($J$2, "mm-dd-yyyy"),expenseDateLog, "&lt;="&amp;TEXT($K$2, "mm-dd-yyyy"))</f>
        <v>3000</v>
      </c>
      <c r="J2" s="7">
        <v>41639</v>
      </c>
      <c r="K2" s="7">
        <v>41728</v>
      </c>
    </row>
    <row r="3" spans="2:11" x14ac:dyDescent="0.15">
      <c r="B3" s="6" t="s">
        <v>7</v>
      </c>
      <c r="C3" s="10">
        <f t="shared" si="0"/>
        <v>3835.75</v>
      </c>
      <c r="D3" s="12"/>
      <c r="E3" s="13"/>
      <c r="F3" s="60"/>
      <c r="G3" s="52" t="s">
        <v>55</v>
      </c>
      <c r="H3" s="9">
        <f t="shared" ref="H3:H4" si="1">SUMIFS(expenseAmtLog, ExpenseCatLog, G3, expenseDateLog, "&gt;="&amp;TEXT($J$2, "mm-dd-yyyy"),expenseDateLog, "&lt;="&amp;TEXT($K$2, "mm-dd-yyyy"))</f>
        <v>478.56000000000006</v>
      </c>
    </row>
    <row r="4" spans="2:11" x14ac:dyDescent="0.15">
      <c r="B4" s="6" t="s">
        <v>75</v>
      </c>
      <c r="C4" s="10">
        <f t="shared" si="0"/>
        <v>5153.5700000000006</v>
      </c>
      <c r="D4" s="12"/>
      <c r="F4" s="59"/>
      <c r="G4" s="52" t="s">
        <v>42</v>
      </c>
      <c r="H4" s="9">
        <f t="shared" si="1"/>
        <v>830.44999999999993</v>
      </c>
    </row>
    <row r="5" spans="2:11" x14ac:dyDescent="0.15">
      <c r="B5" s="6" t="s">
        <v>8</v>
      </c>
      <c r="C5" s="10">
        <f t="shared" si="0"/>
        <v>0</v>
      </c>
      <c r="D5" s="12"/>
      <c r="F5" s="59"/>
      <c r="G5" s="52" t="s">
        <v>43</v>
      </c>
      <c r="H5" s="9">
        <f t="shared" ref="H5:H40" si="2">SUMIFS(expenseAmtLog, ExpenseCatLog, G5, expenseDateLog, "&gt;="&amp;TEXT($J$2, "mm-dd-yyyy"),expenseDateLog, "&lt;="&amp;TEXT($K$2, "mm-dd-yyyy"))</f>
        <v>284.29000000000002</v>
      </c>
    </row>
    <row r="6" spans="2:11" x14ac:dyDescent="0.15">
      <c r="B6" s="6" t="s">
        <v>9</v>
      </c>
      <c r="C6" s="10">
        <f t="shared" si="0"/>
        <v>2796</v>
      </c>
      <c r="D6" s="12"/>
      <c r="F6" s="59"/>
      <c r="G6" s="52" t="s">
        <v>110</v>
      </c>
      <c r="H6" s="9">
        <f t="shared" si="2"/>
        <v>0</v>
      </c>
    </row>
    <row r="7" spans="2:11" x14ac:dyDescent="0.15">
      <c r="B7" s="11" t="s">
        <v>99</v>
      </c>
      <c r="C7" s="10">
        <f t="shared" si="0"/>
        <v>0.02</v>
      </c>
      <c r="D7" s="12"/>
      <c r="F7" s="59"/>
      <c r="G7" s="52" t="s">
        <v>107</v>
      </c>
      <c r="H7" s="9">
        <f t="shared" si="2"/>
        <v>79.14</v>
      </c>
    </row>
    <row r="8" spans="2:11" x14ac:dyDescent="0.15">
      <c r="F8" s="59"/>
      <c r="G8" s="52" t="s">
        <v>108</v>
      </c>
      <c r="H8" s="9">
        <f t="shared" si="2"/>
        <v>25.25</v>
      </c>
      <c r="J8" s="36"/>
      <c r="K8" s="36"/>
    </row>
    <row r="9" spans="2:11" x14ac:dyDescent="0.15">
      <c r="B9" s="31" t="s">
        <v>37</v>
      </c>
      <c r="C9" s="30">
        <f>SUM(C2:C8)</f>
        <v>11785.34</v>
      </c>
      <c r="F9" s="59"/>
      <c r="G9" s="52" t="s">
        <v>44</v>
      </c>
      <c r="H9" s="9">
        <f t="shared" si="2"/>
        <v>52.300000000000004</v>
      </c>
    </row>
    <row r="10" spans="2:11" x14ac:dyDescent="0.15">
      <c r="E10" s="1" t="str">
        <f>"HOUSEHOLD:  $"&amp;SUM(H9:H16)</f>
        <v>HOUSEHOLD:  $928.46</v>
      </c>
      <c r="F10" s="59"/>
      <c r="G10" s="52" t="s">
        <v>45</v>
      </c>
      <c r="H10" s="9">
        <f t="shared" si="2"/>
        <v>213.4</v>
      </c>
    </row>
    <row r="11" spans="2:11" x14ac:dyDescent="0.15">
      <c r="E11" s="13"/>
      <c r="F11" s="60"/>
      <c r="G11" s="52" t="s">
        <v>46</v>
      </c>
      <c r="H11" s="9">
        <f t="shared" si="2"/>
        <v>0</v>
      </c>
    </row>
    <row r="12" spans="2:11" x14ac:dyDescent="0.15">
      <c r="F12" s="59"/>
      <c r="G12" s="52" t="s">
        <v>47</v>
      </c>
      <c r="H12" s="9">
        <f t="shared" si="2"/>
        <v>100</v>
      </c>
    </row>
    <row r="13" spans="2:11" x14ac:dyDescent="0.15">
      <c r="B13" s="32" t="s">
        <v>174</v>
      </c>
      <c r="C13" s="34">
        <f>C9</f>
        <v>11785.34</v>
      </c>
      <c r="F13" s="59"/>
      <c r="G13" s="53" t="s">
        <v>199</v>
      </c>
      <c r="H13" s="25">
        <f t="shared" si="2"/>
        <v>44.95</v>
      </c>
    </row>
    <row r="14" spans="2:11" x14ac:dyDescent="0.15">
      <c r="B14" s="32" t="s">
        <v>175</v>
      </c>
      <c r="C14" s="34">
        <f>H62</f>
        <v>17844.38</v>
      </c>
      <c r="F14" s="59"/>
      <c r="G14" s="54" t="s">
        <v>48</v>
      </c>
      <c r="H14" s="9">
        <f t="shared" si="2"/>
        <v>0</v>
      </c>
    </row>
    <row r="15" spans="2:11" x14ac:dyDescent="0.15">
      <c r="B15" s="32" t="s">
        <v>176</v>
      </c>
      <c r="C15" s="33">
        <f>C13-C14</f>
        <v>-6059.0400000000009</v>
      </c>
      <c r="F15" s="59"/>
      <c r="G15" s="54" t="s">
        <v>79</v>
      </c>
      <c r="H15" s="9">
        <f t="shared" si="2"/>
        <v>213.92</v>
      </c>
    </row>
    <row r="16" spans="2:11" x14ac:dyDescent="0.15">
      <c r="F16" s="59"/>
      <c r="G16" s="54" t="s">
        <v>49</v>
      </c>
      <c r="H16" s="9">
        <f t="shared" si="2"/>
        <v>303.89</v>
      </c>
    </row>
    <row r="17" spans="5:10" x14ac:dyDescent="0.15">
      <c r="F17" s="59"/>
      <c r="G17" s="54" t="s">
        <v>103</v>
      </c>
      <c r="H17" s="9">
        <f t="shared" si="2"/>
        <v>57.5</v>
      </c>
    </row>
    <row r="18" spans="5:10" x14ac:dyDescent="0.15">
      <c r="E18" s="1" t="str">
        <f>"CREDIT CARDS &amp; BANK FEES:  $"&amp;SUM(H17:H23)</f>
        <v>CREDIT CARDS &amp; BANK FEES:  $1486.5</v>
      </c>
      <c r="F18" s="59"/>
      <c r="G18" s="52" t="s">
        <v>122</v>
      </c>
      <c r="H18" s="9">
        <f t="shared" si="2"/>
        <v>814</v>
      </c>
    </row>
    <row r="19" spans="5:10" x14ac:dyDescent="0.15">
      <c r="F19" s="59"/>
      <c r="G19" s="52" t="s">
        <v>123</v>
      </c>
      <c r="H19" s="9">
        <f t="shared" si="2"/>
        <v>80</v>
      </c>
      <c r="J19" s="36"/>
    </row>
    <row r="20" spans="5:10" x14ac:dyDescent="0.15">
      <c r="F20" s="59"/>
      <c r="G20" s="52" t="s">
        <v>124</v>
      </c>
      <c r="H20" s="9">
        <f t="shared" si="2"/>
        <v>120</v>
      </c>
      <c r="J20" s="36"/>
    </row>
    <row r="21" spans="5:10" x14ac:dyDescent="0.15">
      <c r="F21" s="59"/>
      <c r="G21" s="52" t="s">
        <v>125</v>
      </c>
      <c r="H21" s="9">
        <f t="shared" si="2"/>
        <v>100</v>
      </c>
    </row>
    <row r="22" spans="5:10" x14ac:dyDescent="0.15">
      <c r="F22" s="59"/>
      <c r="G22" s="52" t="s">
        <v>126</v>
      </c>
      <c r="H22" s="9">
        <f t="shared" si="2"/>
        <v>145</v>
      </c>
    </row>
    <row r="23" spans="5:10" x14ac:dyDescent="0.15">
      <c r="F23" s="59"/>
      <c r="G23" s="52" t="s">
        <v>127</v>
      </c>
      <c r="H23" s="9">
        <f t="shared" si="2"/>
        <v>170</v>
      </c>
    </row>
    <row r="24" spans="5:10" x14ac:dyDescent="0.15">
      <c r="F24" s="59"/>
      <c r="G24" s="52" t="s">
        <v>129</v>
      </c>
      <c r="H24" s="9">
        <f t="shared" si="2"/>
        <v>2009.8400000000001</v>
      </c>
    </row>
    <row r="25" spans="5:10" x14ac:dyDescent="0.15">
      <c r="E25" s="1" t="str">
        <f>"FOOD IN/OUT:  $"&amp;SUM(H24:H25)</f>
        <v>FOOD IN/OUT:  $2558.24</v>
      </c>
      <c r="F25" s="59"/>
      <c r="G25" s="52" t="s">
        <v>128</v>
      </c>
      <c r="H25" s="9">
        <f t="shared" si="2"/>
        <v>548.40000000000009</v>
      </c>
    </row>
    <row r="26" spans="5:10" x14ac:dyDescent="0.15">
      <c r="F26" s="59"/>
      <c r="G26" s="53" t="s">
        <v>200</v>
      </c>
      <c r="H26" s="25">
        <f t="shared" si="2"/>
        <v>74.62</v>
      </c>
    </row>
    <row r="27" spans="5:10" x14ac:dyDescent="0.15">
      <c r="E27" s="13"/>
      <c r="F27" s="60"/>
      <c r="G27" s="52" t="s">
        <v>130</v>
      </c>
      <c r="H27" s="9">
        <f t="shared" si="2"/>
        <v>465.5</v>
      </c>
    </row>
    <row r="28" spans="5:10" x14ac:dyDescent="0.15">
      <c r="E28" s="1" t="str">
        <f>"TRANSPORTATION:  $"&amp;SUM(H27:H30)</f>
        <v>TRANSPORTATION:  $750.41</v>
      </c>
      <c r="F28" s="59"/>
      <c r="G28" s="52" t="s">
        <v>131</v>
      </c>
      <c r="H28" s="9">
        <f t="shared" si="2"/>
        <v>0</v>
      </c>
    </row>
    <row r="29" spans="5:10" x14ac:dyDescent="0.15">
      <c r="F29" s="59"/>
      <c r="G29" s="52" t="s">
        <v>132</v>
      </c>
      <c r="H29" s="9">
        <f t="shared" si="2"/>
        <v>259.90999999999997</v>
      </c>
    </row>
    <row r="30" spans="5:10" x14ac:dyDescent="0.15">
      <c r="F30" s="59"/>
      <c r="G30" s="52" t="s">
        <v>133</v>
      </c>
      <c r="H30" s="9">
        <f t="shared" si="2"/>
        <v>25</v>
      </c>
    </row>
    <row r="31" spans="5:10" x14ac:dyDescent="0.15">
      <c r="E31" s="13"/>
      <c r="F31" s="60"/>
      <c r="G31" s="52" t="s">
        <v>134</v>
      </c>
      <c r="H31" s="9">
        <f t="shared" si="2"/>
        <v>327.5</v>
      </c>
    </row>
    <row r="32" spans="5:10" x14ac:dyDescent="0.15">
      <c r="E32" s="1" t="str">
        <f>"SELF CARE:  $"&amp;SUM(H31:H35)</f>
        <v>SELF CARE:  $1613.5</v>
      </c>
      <c r="F32" s="59"/>
      <c r="G32" s="52" t="s">
        <v>135</v>
      </c>
      <c r="H32" s="9">
        <f t="shared" si="2"/>
        <v>926.81000000000006</v>
      </c>
    </row>
    <row r="33" spans="5:8" x14ac:dyDescent="0.15">
      <c r="F33" s="59"/>
      <c r="G33" s="52" t="s">
        <v>136</v>
      </c>
      <c r="H33" s="9">
        <f t="shared" si="2"/>
        <v>334.24</v>
      </c>
    </row>
    <row r="34" spans="5:8" x14ac:dyDescent="0.15">
      <c r="F34" s="59"/>
      <c r="G34" s="52" t="s">
        <v>23</v>
      </c>
      <c r="H34" s="9">
        <f t="shared" si="2"/>
        <v>24.950000000000003</v>
      </c>
    </row>
    <row r="35" spans="5:8" x14ac:dyDescent="0.15">
      <c r="F35" s="59"/>
      <c r="G35" s="52" t="s">
        <v>109</v>
      </c>
      <c r="H35" s="9">
        <f t="shared" si="2"/>
        <v>0</v>
      </c>
    </row>
    <row r="36" spans="5:8" x14ac:dyDescent="0.15">
      <c r="E36" s="13"/>
      <c r="F36" s="60"/>
      <c r="G36" s="54" t="s">
        <v>117</v>
      </c>
      <c r="H36" s="9">
        <f t="shared" si="2"/>
        <v>0</v>
      </c>
    </row>
    <row r="37" spans="5:8" x14ac:dyDescent="0.15">
      <c r="E37" s="1" t="str">
        <f>"OLD DEBTS:  $"&amp;SUM(H36:H39)</f>
        <v>OLD DEBTS:  $0</v>
      </c>
      <c r="F37" s="59"/>
      <c r="G37" s="54" t="s">
        <v>118</v>
      </c>
      <c r="H37" s="9">
        <f t="shared" si="2"/>
        <v>0</v>
      </c>
    </row>
    <row r="38" spans="5:8" x14ac:dyDescent="0.15">
      <c r="F38" s="59"/>
      <c r="G38" s="54" t="s">
        <v>119</v>
      </c>
      <c r="H38" s="9">
        <f t="shared" si="2"/>
        <v>0</v>
      </c>
    </row>
    <row r="39" spans="5:8" x14ac:dyDescent="0.15">
      <c r="F39" s="59"/>
      <c r="G39" s="54" t="s">
        <v>120</v>
      </c>
      <c r="H39" s="9">
        <f t="shared" si="2"/>
        <v>0</v>
      </c>
    </row>
    <row r="40" spans="5:8" x14ac:dyDescent="0.15">
      <c r="F40" s="59"/>
      <c r="G40" s="55" t="s">
        <v>69</v>
      </c>
      <c r="H40" s="10">
        <f t="shared" si="2"/>
        <v>0</v>
      </c>
    </row>
    <row r="41" spans="5:8" x14ac:dyDescent="0.15">
      <c r="F41" s="59"/>
      <c r="G41" s="56" t="s">
        <v>50</v>
      </c>
      <c r="H41" s="9">
        <f t="shared" ref="H41:H42" si="3">SUMIFS(expenseAmtLog, ExpenseCatLog, G41, expenseDateLog, "&gt;="&amp;TEXT($J$2, "mm-dd-yyyy"),expenseDateLog, "&lt;="&amp;TEXT($K$2, "mm-dd-yyyy"))</f>
        <v>221.18999999999997</v>
      </c>
    </row>
    <row r="42" spans="5:8" x14ac:dyDescent="0.15">
      <c r="E42" s="1" t="str">
        <f>"TAX DECUCTIBLE:  $"&amp;SUM(H41:H56)</f>
        <v>TAX DECUCTIBLE:  $5028.23</v>
      </c>
      <c r="F42" s="59"/>
      <c r="G42" s="57" t="s">
        <v>100</v>
      </c>
      <c r="H42" s="25">
        <f t="shared" si="3"/>
        <v>383.45000000000005</v>
      </c>
    </row>
    <row r="43" spans="5:8" x14ac:dyDescent="0.15">
      <c r="E43" s="15" t="str">
        <f>"HOME OFFICE:  $"&amp;SUM(H43:H48)</f>
        <v>HOME OFFICE:  $3887.86</v>
      </c>
      <c r="F43" s="61"/>
      <c r="G43" s="56" t="s">
        <v>106</v>
      </c>
      <c r="H43" s="9">
        <f t="shared" ref="H43:H59" si="4">SUMIFS(expenseAmtLog, ExpenseCatLog, G43, expenseDateLog, "&gt;="&amp;TEXT($J$2, "mm-dd-yyyy"),expenseDateLog, "&lt;="&amp;TEXT($K$2, "mm-dd-yyyy"))</f>
        <v>1649.8</v>
      </c>
    </row>
    <row r="44" spans="5:8" x14ac:dyDescent="0.15">
      <c r="E44" s="15"/>
      <c r="F44" s="61"/>
      <c r="G44" s="56" t="s">
        <v>111</v>
      </c>
      <c r="H44" s="9">
        <f t="shared" si="4"/>
        <v>30</v>
      </c>
    </row>
    <row r="45" spans="5:8" x14ac:dyDescent="0.15">
      <c r="E45" s="15"/>
      <c r="F45" s="61"/>
      <c r="G45" s="56" t="s">
        <v>112</v>
      </c>
      <c r="H45" s="9">
        <f t="shared" si="4"/>
        <v>0</v>
      </c>
    </row>
    <row r="46" spans="5:8" x14ac:dyDescent="0.15">
      <c r="E46" s="15"/>
      <c r="F46" s="61"/>
      <c r="G46" s="56" t="s">
        <v>51</v>
      </c>
      <c r="H46" s="9">
        <f t="shared" si="4"/>
        <v>1803.83</v>
      </c>
    </row>
    <row r="47" spans="5:8" x14ac:dyDescent="0.15">
      <c r="F47" s="59"/>
      <c r="G47" s="56" t="s">
        <v>84</v>
      </c>
      <c r="H47" s="9">
        <f t="shared" si="4"/>
        <v>378.27</v>
      </c>
    </row>
    <row r="48" spans="5:8" x14ac:dyDescent="0.15">
      <c r="E48" s="16"/>
      <c r="F48" s="62"/>
      <c r="G48" s="57" t="s">
        <v>202</v>
      </c>
      <c r="H48" s="9">
        <f t="shared" si="4"/>
        <v>25.96</v>
      </c>
    </row>
    <row r="49" spans="5:8" x14ac:dyDescent="0.15">
      <c r="E49" s="15"/>
      <c r="F49" s="61"/>
      <c r="G49" s="56" t="s">
        <v>114</v>
      </c>
      <c r="H49" s="9">
        <f t="shared" si="4"/>
        <v>0</v>
      </c>
    </row>
    <row r="50" spans="5:8" x14ac:dyDescent="0.15">
      <c r="E50" s="15" t="str">
        <f>"SUBSCRIPTIONS &amp; BUSINESS TRAVEL:  $"&amp;SUM(H49:H51)</f>
        <v>SUBSCRIPTIONS &amp; BUSINESS TRAVEL:  $91.06</v>
      </c>
      <c r="F50" s="61"/>
      <c r="G50" s="56" t="s">
        <v>115</v>
      </c>
      <c r="H50" s="9">
        <f t="shared" si="4"/>
        <v>66.710000000000008</v>
      </c>
    </row>
    <row r="51" spans="5:8" x14ac:dyDescent="0.15">
      <c r="E51" s="15"/>
      <c r="F51" s="61"/>
      <c r="G51" s="56" t="s">
        <v>116</v>
      </c>
      <c r="H51" s="9">
        <f t="shared" si="4"/>
        <v>24.35</v>
      </c>
    </row>
    <row r="52" spans="5:8" x14ac:dyDescent="0.15">
      <c r="E52" s="15" t="str">
        <f>"MEDICAL &amp; DONATIONS:   $"&amp;SUM(H52:H56)</f>
        <v>MEDICAL &amp; DONATIONS:   $444.67</v>
      </c>
      <c r="F52" s="61"/>
      <c r="G52" s="56" t="s">
        <v>38</v>
      </c>
      <c r="H52" s="9">
        <f t="shared" si="4"/>
        <v>333.36</v>
      </c>
    </row>
    <row r="53" spans="5:8" x14ac:dyDescent="0.15">
      <c r="F53" s="59"/>
      <c r="G53" s="56" t="s">
        <v>150</v>
      </c>
      <c r="H53" s="25">
        <f t="shared" si="4"/>
        <v>104.31</v>
      </c>
    </row>
    <row r="54" spans="5:8" x14ac:dyDescent="0.15">
      <c r="F54" s="59"/>
      <c r="G54" s="56" t="s">
        <v>137</v>
      </c>
      <c r="H54" s="9">
        <f t="shared" si="4"/>
        <v>0</v>
      </c>
    </row>
    <row r="55" spans="5:8" x14ac:dyDescent="0.15">
      <c r="F55" s="59"/>
      <c r="G55" s="56" t="s">
        <v>138</v>
      </c>
      <c r="H55" s="9">
        <f t="shared" si="4"/>
        <v>0</v>
      </c>
    </row>
    <row r="56" spans="5:8" x14ac:dyDescent="0.15">
      <c r="F56" s="59"/>
      <c r="G56" s="56" t="s">
        <v>121</v>
      </c>
      <c r="H56" s="9">
        <f t="shared" si="4"/>
        <v>7</v>
      </c>
    </row>
    <row r="57" spans="5:8" x14ac:dyDescent="0.15">
      <c r="E57" s="1" t="str">
        <f>"TAXES:  $"&amp;SUM(H57:H59)</f>
        <v>TAXES:  $706.73</v>
      </c>
      <c r="F57" s="59"/>
      <c r="G57" s="58" t="s">
        <v>56</v>
      </c>
      <c r="H57" s="9">
        <f t="shared" si="4"/>
        <v>0</v>
      </c>
    </row>
    <row r="58" spans="5:8" x14ac:dyDescent="0.15">
      <c r="F58" s="59"/>
      <c r="G58" s="58" t="s">
        <v>57</v>
      </c>
      <c r="H58" s="9">
        <f t="shared" si="4"/>
        <v>706.73</v>
      </c>
    </row>
    <row r="59" spans="5:8" x14ac:dyDescent="0.15">
      <c r="F59" s="59"/>
      <c r="G59" s="58" t="s">
        <v>58</v>
      </c>
      <c r="H59" s="9">
        <f t="shared" si="4"/>
        <v>0</v>
      </c>
    </row>
    <row r="60" spans="5:8" x14ac:dyDescent="0.15">
      <c r="F60" s="59"/>
      <c r="G60" s="58" t="s">
        <v>157</v>
      </c>
      <c r="H60" s="6"/>
    </row>
    <row r="61" spans="5:8" x14ac:dyDescent="0.15">
      <c r="F61" s="59"/>
    </row>
    <row r="62" spans="5:8" x14ac:dyDescent="0.15">
      <c r="G62" s="8" t="s">
        <v>82</v>
      </c>
      <c r="H62" s="30">
        <f>SUM(H2:H61)</f>
        <v>17844.38</v>
      </c>
    </row>
  </sheetData>
  <phoneticPr fontId="7" type="noConversion"/>
  <conditionalFormatting sqref="C15">
    <cfRule type="cellIs" dxfId="2" priority="1" operator="greaterThan">
      <formula>0</formula>
    </cfRule>
    <cfRule type="cellIs" dxfId="1" priority="2" operator="lessThan">
      <formula>0</formula>
    </cfRule>
  </conditionalFormatting>
  <pageMargins left="0.75" right="0.75" top="1" bottom="1" header="0.5" footer="0.5"/>
  <pageSetup orientation="portrait" horizontalDpi="0" verticalDpi="0"/>
  <ignoredErrors>
    <ignoredError sqref="C2:C7 C9 H2:H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I2" sqref="I2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22" t="s">
        <v>171</v>
      </c>
      <c r="B1" s="22" t="s">
        <v>172</v>
      </c>
      <c r="C1" s="21"/>
      <c r="D1" s="22" t="s">
        <v>173</v>
      </c>
      <c r="E1" s="22" t="s">
        <v>172</v>
      </c>
      <c r="F1" s="22" t="s">
        <v>85</v>
      </c>
      <c r="G1" s="21"/>
      <c r="H1" s="22" t="s">
        <v>86</v>
      </c>
      <c r="I1" s="22" t="s">
        <v>172</v>
      </c>
      <c r="J1" s="22" t="s">
        <v>85</v>
      </c>
      <c r="K1" s="21"/>
      <c r="L1" s="22" t="s">
        <v>87</v>
      </c>
      <c r="M1" s="22" t="s">
        <v>172</v>
      </c>
      <c r="N1" s="22" t="s">
        <v>85</v>
      </c>
    </row>
    <row r="2" spans="1:14" x14ac:dyDescent="0.15">
      <c r="A2" s="6" t="s">
        <v>160</v>
      </c>
      <c r="B2" s="6">
        <v>7690185199</v>
      </c>
      <c r="D2" s="6" t="s">
        <v>163</v>
      </c>
      <c r="E2" s="6">
        <v>4896</v>
      </c>
      <c r="F2" s="18">
        <v>41868</v>
      </c>
      <c r="H2" s="6" t="s">
        <v>167</v>
      </c>
      <c r="I2" s="6">
        <v>5474</v>
      </c>
      <c r="J2" s="19">
        <v>43465</v>
      </c>
      <c r="L2" s="6" t="s">
        <v>158</v>
      </c>
      <c r="M2" s="6">
        <v>7124</v>
      </c>
      <c r="N2" s="19">
        <v>41729</v>
      </c>
    </row>
    <row r="3" spans="1:14" x14ac:dyDescent="0.15">
      <c r="A3" s="6" t="s">
        <v>161</v>
      </c>
      <c r="B3" s="6">
        <v>83904974</v>
      </c>
      <c r="D3" s="6" t="s">
        <v>164</v>
      </c>
      <c r="E3" s="6">
        <v>1380</v>
      </c>
      <c r="F3" s="18">
        <v>42277</v>
      </c>
      <c r="H3" s="6" t="s">
        <v>168</v>
      </c>
      <c r="I3" s="6">
        <v>3141</v>
      </c>
      <c r="J3" s="20">
        <v>42093</v>
      </c>
      <c r="L3" s="6" t="s">
        <v>159</v>
      </c>
      <c r="M3" s="6">
        <v>1675</v>
      </c>
      <c r="N3" s="19">
        <v>42674</v>
      </c>
    </row>
    <row r="4" spans="1:14" x14ac:dyDescent="0.15">
      <c r="A4" s="6" t="s">
        <v>162</v>
      </c>
      <c r="B4" s="6">
        <v>4256752069</v>
      </c>
      <c r="D4" s="6" t="s">
        <v>165</v>
      </c>
      <c r="E4" s="6">
        <v>4978</v>
      </c>
      <c r="F4" s="18">
        <v>43039</v>
      </c>
      <c r="H4" s="6" t="s">
        <v>168</v>
      </c>
      <c r="I4" s="6">
        <v>3561</v>
      </c>
      <c r="J4" s="20">
        <v>42520</v>
      </c>
      <c r="L4" s="6" t="s">
        <v>160</v>
      </c>
      <c r="M4" s="6">
        <v>7836</v>
      </c>
      <c r="N4" s="19">
        <v>41912</v>
      </c>
    </row>
    <row r="5" spans="1:14" x14ac:dyDescent="0.15">
      <c r="D5" s="6" t="s">
        <v>166</v>
      </c>
      <c r="E5" s="6">
        <v>1621</v>
      </c>
      <c r="F5" s="18">
        <v>42855</v>
      </c>
      <c r="H5" s="6" t="s">
        <v>169</v>
      </c>
      <c r="I5" s="6">
        <v>7030</v>
      </c>
      <c r="J5" s="19">
        <v>41670</v>
      </c>
    </row>
    <row r="6" spans="1:14" x14ac:dyDescent="0.15">
      <c r="H6" s="6" t="s">
        <v>170</v>
      </c>
      <c r="I6" s="6">
        <v>4850</v>
      </c>
      <c r="J6" s="19">
        <v>42185</v>
      </c>
    </row>
  </sheetData>
  <phoneticPr fontId="7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showGridLines="0" workbookViewId="0">
      <selection activeCell="B13" sqref="B13"/>
    </sheetView>
  </sheetViews>
  <sheetFormatPr baseColWidth="10" defaultRowHeight="13" x14ac:dyDescent="0.15"/>
  <cols>
    <col min="1" max="1" width="13" style="24" customWidth="1"/>
    <col min="2" max="2" width="12" style="25" customWidth="1"/>
    <col min="3" max="3" width="10.83203125" style="6"/>
  </cols>
  <sheetData>
    <row r="1" spans="1:6" ht="26" customHeight="1" x14ac:dyDescent="0.15">
      <c r="A1" s="28" t="s">
        <v>31</v>
      </c>
      <c r="B1" s="29" t="s">
        <v>32</v>
      </c>
      <c r="C1" s="35" t="s">
        <v>184</v>
      </c>
    </row>
    <row r="2" spans="1:6" x14ac:dyDescent="0.15">
      <c r="A2" s="24">
        <v>41703</v>
      </c>
      <c r="B2" s="25">
        <v>-10</v>
      </c>
    </row>
    <row r="3" spans="1:6" x14ac:dyDescent="0.15">
      <c r="A3" s="24">
        <v>41703</v>
      </c>
      <c r="B3" s="25">
        <v>7</v>
      </c>
    </row>
    <row r="4" spans="1:6" x14ac:dyDescent="0.15">
      <c r="A4" s="24">
        <v>41704</v>
      </c>
      <c r="B4" s="25">
        <v>-3</v>
      </c>
    </row>
    <row r="5" spans="1:6" x14ac:dyDescent="0.15">
      <c r="A5" s="24">
        <v>41709</v>
      </c>
      <c r="B5" s="25">
        <v>-12</v>
      </c>
    </row>
    <row r="6" spans="1:6" x14ac:dyDescent="0.15">
      <c r="A6" s="24">
        <v>41709</v>
      </c>
      <c r="B6" s="25">
        <v>15</v>
      </c>
    </row>
    <row r="7" spans="1:6" x14ac:dyDescent="0.15">
      <c r="A7" s="24">
        <v>41710</v>
      </c>
      <c r="B7" s="25">
        <v>-10</v>
      </c>
    </row>
    <row r="8" spans="1:6" x14ac:dyDescent="0.15">
      <c r="A8" s="24">
        <v>41710</v>
      </c>
      <c r="B8" s="25">
        <v>20</v>
      </c>
      <c r="E8" s="27" t="s">
        <v>30</v>
      </c>
      <c r="F8" s="26">
        <f>SUM(B:B)</f>
        <v>7.4499999999999993</v>
      </c>
    </row>
    <row r="9" spans="1:6" x14ac:dyDescent="0.15">
      <c r="A9" s="24">
        <v>41711</v>
      </c>
      <c r="B9" s="25">
        <v>20</v>
      </c>
    </row>
    <row r="10" spans="1:6" x14ac:dyDescent="0.15">
      <c r="A10" s="24">
        <v>41712</v>
      </c>
      <c r="B10" s="25">
        <v>-10</v>
      </c>
    </row>
    <row r="11" spans="1:6" x14ac:dyDescent="0.15">
      <c r="A11" s="24">
        <v>41716</v>
      </c>
      <c r="B11" s="25">
        <v>-3.5</v>
      </c>
    </row>
    <row r="12" spans="1:6" x14ac:dyDescent="0.15">
      <c r="A12" s="24">
        <v>41716</v>
      </c>
      <c r="B12" s="25">
        <v>10</v>
      </c>
    </row>
    <row r="13" spans="1:6" x14ac:dyDescent="0.15">
      <c r="A13" s="24">
        <v>41716</v>
      </c>
      <c r="B13" s="25">
        <v>-13.05</v>
      </c>
      <c r="C13" s="6" t="s">
        <v>185</v>
      </c>
    </row>
    <row r="14" spans="1:6" x14ac:dyDescent="0.15">
      <c r="A14" s="24">
        <v>41717</v>
      </c>
      <c r="B14" s="25">
        <v>-7</v>
      </c>
    </row>
    <row r="15" spans="1:6" x14ac:dyDescent="0.15">
      <c r="A15" s="24">
        <v>41717</v>
      </c>
      <c r="B15" s="25">
        <v>15</v>
      </c>
    </row>
    <row r="16" spans="1:6" x14ac:dyDescent="0.15">
      <c r="A16" s="24">
        <v>41719</v>
      </c>
      <c r="B16" s="25">
        <v>-7</v>
      </c>
    </row>
    <row r="17" spans="1:2" x14ac:dyDescent="0.15">
      <c r="A17" s="24">
        <v>41723</v>
      </c>
      <c r="B17" s="25">
        <v>-7</v>
      </c>
    </row>
    <row r="18" spans="1:2" x14ac:dyDescent="0.15">
      <c r="A18" s="24">
        <v>41723</v>
      </c>
      <c r="B18" s="25">
        <v>27</v>
      </c>
    </row>
    <row r="19" spans="1:2" x14ac:dyDescent="0.15">
      <c r="A19" s="24">
        <v>41723</v>
      </c>
      <c r="B19" s="25">
        <v>-3</v>
      </c>
    </row>
    <row r="20" spans="1:2" x14ac:dyDescent="0.15">
      <c r="A20" s="24">
        <v>41730</v>
      </c>
      <c r="B20" s="25">
        <v>-7</v>
      </c>
    </row>
    <row r="21" spans="1:2" x14ac:dyDescent="0.15">
      <c r="A21" s="24">
        <v>41731</v>
      </c>
      <c r="B21" s="25">
        <v>-7</v>
      </c>
    </row>
    <row r="22" spans="1:2" x14ac:dyDescent="0.15">
      <c r="A22" s="24">
        <v>41737</v>
      </c>
      <c r="B22" s="25">
        <v>-7</v>
      </c>
    </row>
  </sheetData>
  <autoFilter ref="A1:C15" xr:uid="{6810FB8C-0104-6144-AF85-5F089521EC1F}"/>
  <phoneticPr fontId="7" type="noConversion"/>
  <conditionalFormatting sqref="F8">
    <cfRule type="cellIs" dxfId="0" priority="0" stopIfTrue="1" operator="greaterThan">
      <formula>0</formula>
    </cfRule>
  </conditionalFormatting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22C61-EFC3-C148-AB89-845588C9EA90}">
  <sheetPr codeName="Sheet6">
    <pageSetUpPr fitToPage="1"/>
  </sheetPr>
  <dimension ref="A1:E18"/>
  <sheetViews>
    <sheetView tabSelected="1" topLeftCell="A4" workbookViewId="0">
      <selection activeCell="C18" sqref="C18"/>
    </sheetView>
  </sheetViews>
  <sheetFormatPr baseColWidth="10" defaultRowHeight="13" x14ac:dyDescent="0.15"/>
  <cols>
    <col min="1" max="1" width="15.5" style="63" bestFit="1" customWidth="1"/>
    <col min="2" max="2" width="14.1640625" bestFit="1" customWidth="1"/>
    <col min="3" max="3" width="12.5" bestFit="1" customWidth="1"/>
    <col min="4" max="4" width="11.5" bestFit="1" customWidth="1"/>
    <col min="5" max="5" width="39.83203125" bestFit="1" customWidth="1"/>
  </cols>
  <sheetData>
    <row r="1" spans="1:5" ht="31" customHeight="1" x14ac:dyDescent="0.2">
      <c r="A1" s="64" t="s">
        <v>198</v>
      </c>
      <c r="B1" s="65" t="s">
        <v>196</v>
      </c>
      <c r="C1" s="65" t="s">
        <v>197</v>
      </c>
      <c r="D1" s="65" t="s">
        <v>303</v>
      </c>
      <c r="E1" s="65" t="s">
        <v>184</v>
      </c>
    </row>
    <row r="2" spans="1:5" ht="40" x14ac:dyDescent="0.2">
      <c r="A2" s="66">
        <v>41703</v>
      </c>
      <c r="B2" s="67">
        <v>0.54166666666666663</v>
      </c>
      <c r="C2" s="67">
        <v>0.66666666666666663</v>
      </c>
      <c r="D2" s="68">
        <f t="shared" ref="D2:D17" si="0">(C2-B2)*24</f>
        <v>3</v>
      </c>
      <c r="E2" s="69" t="s">
        <v>317</v>
      </c>
    </row>
    <row r="3" spans="1:5" ht="40" x14ac:dyDescent="0.2">
      <c r="A3" s="66">
        <v>41709</v>
      </c>
      <c r="B3" s="67">
        <v>0.51388888888888895</v>
      </c>
      <c r="C3" s="67">
        <v>0.72222222222222221</v>
      </c>
      <c r="D3" s="68">
        <f t="shared" si="0"/>
        <v>4.9999999999999982</v>
      </c>
      <c r="E3" s="69" t="s">
        <v>317</v>
      </c>
    </row>
    <row r="4" spans="1:5" ht="40" x14ac:dyDescent="0.2">
      <c r="A4" s="66">
        <v>41710</v>
      </c>
      <c r="B4" s="67">
        <v>0.51388888888888895</v>
      </c>
      <c r="C4" s="67">
        <v>0.68055555555555547</v>
      </c>
      <c r="D4" s="68">
        <f t="shared" si="0"/>
        <v>3.9999999999999964</v>
      </c>
      <c r="E4" s="69" t="s">
        <v>321</v>
      </c>
    </row>
    <row r="5" spans="1:5" ht="20" x14ac:dyDescent="0.2">
      <c r="A5" s="66">
        <v>41711</v>
      </c>
      <c r="B5" s="67">
        <v>0.51388888888888895</v>
      </c>
      <c r="C5" s="67">
        <v>0.66666666666666663</v>
      </c>
      <c r="D5" s="68">
        <f t="shared" si="0"/>
        <v>3.6666666666666643</v>
      </c>
      <c r="E5" s="69" t="s">
        <v>318</v>
      </c>
    </row>
    <row r="6" spans="1:5" ht="20" x14ac:dyDescent="0.2">
      <c r="A6" s="66">
        <v>41712</v>
      </c>
      <c r="B6" s="67">
        <v>0.5180555555555556</v>
      </c>
      <c r="C6" s="67">
        <v>0.65138888888888891</v>
      </c>
      <c r="D6" s="68">
        <f t="shared" si="0"/>
        <v>3.1999999999999993</v>
      </c>
      <c r="E6" s="69" t="s">
        <v>318</v>
      </c>
    </row>
    <row r="7" spans="1:5" ht="20" x14ac:dyDescent="0.2">
      <c r="A7" s="66">
        <v>41716</v>
      </c>
      <c r="B7" s="67">
        <v>0.52222222222222225</v>
      </c>
      <c r="C7" s="67">
        <v>0.68055555555555547</v>
      </c>
      <c r="D7" s="68">
        <f t="shared" si="0"/>
        <v>3.7999999999999972</v>
      </c>
      <c r="E7" s="69" t="s">
        <v>318</v>
      </c>
    </row>
    <row r="8" spans="1:5" ht="40" x14ac:dyDescent="0.2">
      <c r="A8" s="66">
        <v>41717</v>
      </c>
      <c r="B8" s="67">
        <v>0.64583333333333337</v>
      </c>
      <c r="C8" s="67">
        <v>0.69166666666666676</v>
      </c>
      <c r="D8" s="68">
        <f t="shared" si="0"/>
        <v>1.1000000000000014</v>
      </c>
      <c r="E8" s="69" t="s">
        <v>319</v>
      </c>
    </row>
    <row r="9" spans="1:5" ht="40" x14ac:dyDescent="0.2">
      <c r="A9" s="66">
        <v>41717</v>
      </c>
      <c r="B9" s="67">
        <v>0.53472222222222221</v>
      </c>
      <c r="C9" s="67">
        <v>0.625</v>
      </c>
      <c r="D9" s="68">
        <f t="shared" si="0"/>
        <v>2.166666666666667</v>
      </c>
      <c r="E9" s="69" t="s">
        <v>319</v>
      </c>
    </row>
    <row r="10" spans="1:5" ht="40" x14ac:dyDescent="0.2">
      <c r="A10" s="66">
        <v>41719</v>
      </c>
      <c r="B10" s="67">
        <v>0.51250000000000007</v>
      </c>
      <c r="C10" s="67">
        <v>0.67569444444444438</v>
      </c>
      <c r="D10" s="68">
        <f t="shared" si="0"/>
        <v>3.9166666666666634</v>
      </c>
      <c r="E10" s="69" t="s">
        <v>319</v>
      </c>
    </row>
    <row r="11" spans="1:5" ht="40" x14ac:dyDescent="0.2">
      <c r="A11" s="66">
        <v>41723</v>
      </c>
      <c r="B11" s="67">
        <v>0.51180555555555551</v>
      </c>
      <c r="C11" s="67">
        <v>0.68263888888888891</v>
      </c>
      <c r="D11" s="68">
        <f t="shared" si="0"/>
        <v>4.1000000000000014</v>
      </c>
      <c r="E11" s="69" t="s">
        <v>316</v>
      </c>
    </row>
    <row r="12" spans="1:5" ht="40" x14ac:dyDescent="0.2">
      <c r="A12" s="66">
        <v>41724</v>
      </c>
      <c r="B12" s="67">
        <v>0.52430555555555558</v>
      </c>
      <c r="C12" s="67">
        <v>0.69097222222222221</v>
      </c>
      <c r="D12" s="68">
        <f t="shared" si="0"/>
        <v>3.9999999999999991</v>
      </c>
      <c r="E12" s="69" t="s">
        <v>316</v>
      </c>
    </row>
    <row r="13" spans="1:5" ht="40" x14ac:dyDescent="0.2">
      <c r="A13" s="66">
        <v>41725</v>
      </c>
      <c r="B13" s="67">
        <v>0.6645833333333333</v>
      </c>
      <c r="C13" s="67">
        <v>0.69236111111111109</v>
      </c>
      <c r="D13" s="68">
        <f t="shared" si="0"/>
        <v>0.66666666666666696</v>
      </c>
      <c r="E13" s="69" t="s">
        <v>316</v>
      </c>
    </row>
    <row r="14" spans="1:5" ht="80" x14ac:dyDescent="0.2">
      <c r="A14" s="66">
        <v>41727</v>
      </c>
      <c r="B14" s="67">
        <v>0.67222222222222217</v>
      </c>
      <c r="C14" s="67">
        <v>0.73541666666666661</v>
      </c>
      <c r="D14" s="68">
        <f t="shared" si="0"/>
        <v>1.5166666666666666</v>
      </c>
      <c r="E14" s="69" t="s">
        <v>320</v>
      </c>
    </row>
    <row r="15" spans="1:5" ht="60" x14ac:dyDescent="0.2">
      <c r="A15" s="66">
        <v>41730</v>
      </c>
      <c r="B15" s="67">
        <v>0.3888888888888889</v>
      </c>
      <c r="C15" s="67">
        <v>0.5541666666666667</v>
      </c>
      <c r="D15" s="68">
        <f t="shared" si="0"/>
        <v>3.9666666666666672</v>
      </c>
      <c r="E15" s="69" t="s">
        <v>315</v>
      </c>
    </row>
    <row r="16" spans="1:5" ht="40" x14ac:dyDescent="0.2">
      <c r="A16" s="66">
        <v>41731</v>
      </c>
      <c r="B16" s="67">
        <v>0.39930555555555558</v>
      </c>
      <c r="C16" s="67">
        <v>0.55069444444444449</v>
      </c>
      <c r="D16" s="68">
        <f t="shared" si="0"/>
        <v>3.6333333333333337</v>
      </c>
      <c r="E16" s="69" t="s">
        <v>322</v>
      </c>
    </row>
    <row r="17" spans="1:5" ht="40" x14ac:dyDescent="0.2">
      <c r="A17" s="66">
        <v>41733</v>
      </c>
      <c r="B17" s="67">
        <v>0.52152777777777781</v>
      </c>
      <c r="C17" s="67">
        <v>0.6069444444444444</v>
      </c>
      <c r="D17" s="68">
        <f t="shared" si="0"/>
        <v>2.049999999999998</v>
      </c>
      <c r="E17" s="69" t="s">
        <v>323</v>
      </c>
    </row>
    <row r="18" spans="1:5" ht="20" x14ac:dyDescent="0.2">
      <c r="A18" s="66"/>
      <c r="B18" s="67"/>
      <c r="C18" s="70" t="s">
        <v>324</v>
      </c>
      <c r="D18" s="72">
        <f>SUM(D2:D17)</f>
        <v>49.783333333333317</v>
      </c>
      <c r="E18" s="71"/>
    </row>
  </sheetData>
  <autoFilter ref="A1:D16" xr:uid="{53BA0AE1-3DB3-0645-90F2-93C8A7BC42A9}">
    <sortState ref="A2:D16">
      <sortCondition ref="A1:A16"/>
    </sortState>
  </autoFilter>
  <printOptions horizontalCentered="1"/>
  <pageMargins left="0.7" right="0.7" top="0.75" bottom="0.75" header="0.3" footer="0.3"/>
  <pageSetup scale="90" orientation="portrait" horizontalDpi="0" verticalDpi="0"/>
  <headerFooter>
    <oddHeader>&amp;C&amp;K000000JUAN ALDUEY TIME LOG (3/6/2018 TO 4/5/2018)</oddHeader>
    <oddFooter>&amp;L&amp;"Helvetica,Regular"&amp;12&amp;K000000LAST UPDATE: &amp;D AT &amp;T&amp;C&amp;K000000FOR CECILIA METHENY&amp;R&amp;"Helvetica,Regular"&amp;12&amp;K000000PAGE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Income</vt:lpstr>
      <vt:lpstr>Expenses</vt:lpstr>
      <vt:lpstr>Categories and Stats</vt:lpstr>
      <vt:lpstr>DebitCredit Card Bank Acct Data</vt:lpstr>
      <vt:lpstr>Petty Cash Envelope</vt:lpstr>
      <vt:lpstr>TimeLog</vt:lpstr>
      <vt:lpstr>expenseAmtLog</vt:lpstr>
      <vt:lpstr>ExpenseCatLog</vt:lpstr>
      <vt:lpstr>expenseDateLog</vt:lpstr>
      <vt:lpstr>ExpenseLog</vt:lpstr>
      <vt:lpstr>expenses</vt:lpstr>
      <vt:lpstr>income</vt:lpstr>
      <vt:lpstr>IncomeAmtLog</vt:lpstr>
      <vt:lpstr>IncomeCatLog</vt:lpstr>
      <vt:lpstr>IncomeDateLog</vt:lpstr>
      <vt:lpstr>IncomeLog</vt:lpstr>
      <vt:lpstr>TimeLog!Print_Area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2018-04-09T17:12:50Z</cp:lastPrinted>
  <dcterms:created xsi:type="dcterms:W3CDTF">2018-03-06T19:48:04Z</dcterms:created>
  <dcterms:modified xsi:type="dcterms:W3CDTF">2018-04-09T17:14:20Z</dcterms:modified>
</cp:coreProperties>
</file>
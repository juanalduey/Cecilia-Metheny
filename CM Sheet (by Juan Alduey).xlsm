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CDFDC863-C120-7441-8D05-1925B1CBBF7E}" xr6:coauthVersionLast="34" xr6:coauthVersionMax="34" xr10:uidLastSave="{00000000-0000-0000-0000-000000000000}"/>
  <bookViews>
    <workbookView xWindow="940" yWindow="2240" windowWidth="26040" windowHeight="16260" tabRatio="500" activeTab="2" xr2:uid="{00000000-000D-0000-FFFF-FFFF00000000}"/>
  </bookViews>
  <sheets>
    <sheet name="Income" sheetId="2" r:id="rId1"/>
    <sheet name="Expenses" sheetId="1" r:id="rId2"/>
    <sheet name="Credit Card Purchases" sheetId="8" r:id="rId3"/>
    <sheet name="Categories and Stats" sheetId="3" r:id="rId4"/>
    <sheet name="Yearly Spending Plan" sheetId="7" r:id="rId5"/>
    <sheet name="DebitCredit Card Bank Acct Data" sheetId="4" r:id="rId6"/>
    <sheet name="Personal Category Dropdowns" sheetId="6" r:id="rId7"/>
  </sheets>
  <functionGroups builtInGroupCount="19"/>
  <definedNames>
    <definedName name="_xlnm._FilterDatabase" localSheetId="1" hidden="1">Expenses!$A$1:$E$501</definedName>
    <definedName name="_xlnm._FilterDatabase" localSheetId="0" hidden="1">Income!$A$1:$D$77</definedName>
    <definedName name="_xlnm._FilterDatabase" localSheetId="6" hidden="1">'Personal Category Dropdowns'!$C$1:$C$8</definedName>
    <definedName name="Bills">Table2[Bills]</definedName>
    <definedName name="Categories">Table1[Category]</definedName>
    <definedName name="CM_Credit_Cards">OFFSET('DebitCredit Card Bank Acct Data'!$H$1, 1, 0, COUNTA('DebitCredit Card Bank Acct Data'!$H:$H)-1, 1)</definedName>
    <definedName name="Credit_Cards">Table4[Credit_Cards]</definedName>
    <definedName name="Debts">Table8[Debts]</definedName>
    <definedName name="entertainment">Table10[Entertainment]</definedName>
    <definedName name="expenseAmtLog">Expenses!$D:$D</definedName>
    <definedName name="ExpenseCatLog">Expenses!$C:$C</definedName>
    <definedName name="expenseDateLog">Expenses!$A:$A</definedName>
    <definedName name="ExpenseLog">Expenses!$A:$E</definedName>
    <definedName name="expenses">OFFSET('Categories and Stats'!$I$8,1,0,COUNTA('Categories and Stats'!$I:$I)-1,1)</definedName>
    <definedName name="Food">Table5[Food]</definedName>
    <definedName name="Household">Table3[Household]</definedName>
    <definedName name="income">OFFSET('Categories and Stats'!$B$8, 1,0,COUNTA('Categories and Stats'!$B:$B)-1,1)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3">'Categories and Stats'!$A$3:$L$58</definedName>
    <definedName name="Self_Care">Table7[Self_Care]</definedName>
    <definedName name="Tax_Deduct">Table9[Tax_Deduct]</definedName>
    <definedName name="Taxes">Table10[Taxes]</definedName>
    <definedName name="Transport">Table6[Transport]</definedName>
  </definedNames>
  <calcPr calcId="162913"/>
</workbook>
</file>

<file path=xl/calcChain.xml><?xml version="1.0" encoding="utf-8"?>
<calcChain xmlns="http://schemas.openxmlformats.org/spreadsheetml/2006/main">
  <c r="I52" i="3" l="1"/>
  <c r="I51" i="3"/>
  <c r="I49" i="3"/>
  <c r="I50" i="3"/>
  <c r="I48" i="3"/>
  <c r="I47" i="3"/>
  <c r="I46" i="3"/>
  <c r="I42" i="3"/>
  <c r="I43" i="3"/>
  <c r="I44" i="3"/>
  <c r="I45" i="3"/>
  <c r="I41" i="3"/>
  <c r="I40" i="3"/>
  <c r="I39" i="3"/>
  <c r="I38" i="3"/>
  <c r="I35" i="3"/>
  <c r="I36" i="3"/>
  <c r="I37" i="3"/>
  <c r="I34" i="3"/>
  <c r="I31" i="3"/>
  <c r="I32" i="3"/>
  <c r="I33" i="3"/>
  <c r="I30" i="3"/>
  <c r="I28" i="3"/>
  <c r="I29" i="3"/>
  <c r="I27" i="3"/>
  <c r="I25" i="3"/>
  <c r="I26" i="3"/>
  <c r="I24" i="3"/>
  <c r="I17" i="3"/>
  <c r="I18" i="3"/>
  <c r="I19" i="3"/>
  <c r="I20" i="3"/>
  <c r="I21" i="3"/>
  <c r="I22" i="3"/>
  <c r="I23" i="3"/>
  <c r="I16" i="3"/>
  <c r="I10" i="3"/>
  <c r="I11" i="3"/>
  <c r="I12" i="3"/>
  <c r="I13" i="3"/>
  <c r="I14" i="3"/>
  <c r="I15" i="3"/>
  <c r="I9" i="3"/>
  <c r="D143" i="1"/>
  <c r="D98" i="1"/>
  <c r="A45" i="7" l="1"/>
  <c r="A46" i="7"/>
  <c r="A47" i="7"/>
  <c r="A48" i="7"/>
  <c r="A49" i="7"/>
  <c r="A50" i="7"/>
  <c r="A51" i="7"/>
  <c r="A40" i="7"/>
  <c r="A41" i="7"/>
  <c r="A42" i="7"/>
  <c r="A43" i="7"/>
  <c r="A44" i="7"/>
  <c r="A34" i="7"/>
  <c r="A35" i="7"/>
  <c r="A36" i="7"/>
  <c r="A37" i="7"/>
  <c r="A38" i="7"/>
  <c r="A39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2" i="7"/>
  <c r="A3" i="3"/>
  <c r="J22" i="3" l="1"/>
  <c r="L22" i="3" s="1"/>
  <c r="C14" i="3" l="1"/>
  <c r="E14" i="3" l="1"/>
  <c r="J10" i="3"/>
  <c r="L10" i="3" s="1"/>
  <c r="J11" i="3"/>
  <c r="L11" i="3" s="1"/>
  <c r="J12" i="3"/>
  <c r="L12" i="3" s="1"/>
  <c r="J13" i="3"/>
  <c r="L13" i="3" s="1"/>
  <c r="J14" i="3"/>
  <c r="L14" i="3" s="1"/>
  <c r="J9" i="3"/>
  <c r="J55" i="3"/>
  <c r="L55" i="3" s="1"/>
  <c r="L9" i="3" l="1"/>
  <c r="J18" i="3"/>
  <c r="L18" i="3" s="1"/>
  <c r="J40" i="3" l="1"/>
  <c r="L40" i="3" s="1"/>
  <c r="J27" i="3"/>
  <c r="J19" i="3"/>
  <c r="L19" i="3" s="1"/>
  <c r="L27" i="3" l="1"/>
  <c r="J51" i="3"/>
  <c r="J15" i="3"/>
  <c r="J16" i="3"/>
  <c r="J17" i="3"/>
  <c r="L17" i="3" s="1"/>
  <c r="J20" i="3"/>
  <c r="L20" i="3" s="1"/>
  <c r="J21" i="3"/>
  <c r="L21" i="3" s="1"/>
  <c r="J23" i="3"/>
  <c r="J24" i="3"/>
  <c r="J25" i="3"/>
  <c r="L25" i="3" s="1"/>
  <c r="J26" i="3"/>
  <c r="L26" i="3" s="1"/>
  <c r="J29" i="3"/>
  <c r="L29" i="3" s="1"/>
  <c r="J30" i="3"/>
  <c r="J31" i="3"/>
  <c r="L31" i="3" s="1"/>
  <c r="J32" i="3"/>
  <c r="L32" i="3" s="1"/>
  <c r="J33" i="3"/>
  <c r="L33" i="3" s="1"/>
  <c r="J34" i="3"/>
  <c r="J35" i="3"/>
  <c r="L35" i="3" s="1"/>
  <c r="J36" i="3"/>
  <c r="L36" i="3" s="1"/>
  <c r="J37" i="3"/>
  <c r="L37" i="3" s="1"/>
  <c r="J38" i="3"/>
  <c r="L38" i="3" s="1"/>
  <c r="J39" i="3"/>
  <c r="J41" i="3"/>
  <c r="J42" i="3"/>
  <c r="L42" i="3" s="1"/>
  <c r="J43" i="3"/>
  <c r="L43" i="3" s="1"/>
  <c r="J44" i="3"/>
  <c r="L44" i="3" s="1"/>
  <c r="J45" i="3"/>
  <c r="L45" i="3" s="1"/>
  <c r="J46" i="3"/>
  <c r="L46" i="3" s="1"/>
  <c r="J47" i="3"/>
  <c r="L47" i="3" s="1"/>
  <c r="J48" i="3"/>
  <c r="J49" i="3"/>
  <c r="L49" i="3" s="1"/>
  <c r="J50" i="3"/>
  <c r="L50" i="3" s="1"/>
  <c r="J52" i="3"/>
  <c r="L52" i="3" s="1"/>
  <c r="J53" i="3"/>
  <c r="L53" i="3" s="1"/>
  <c r="J54" i="3"/>
  <c r="L54" i="3" s="1"/>
  <c r="J56" i="3"/>
  <c r="L56" i="3" s="1"/>
  <c r="J57" i="3"/>
  <c r="L57" i="3" s="1"/>
  <c r="J58" i="3"/>
  <c r="L58" i="3" s="1"/>
  <c r="C9" i="3"/>
  <c r="C10" i="3"/>
  <c r="E10" i="3" s="1"/>
  <c r="C11" i="3"/>
  <c r="E11" i="3" s="1"/>
  <c r="C12" i="3"/>
  <c r="E12" i="3" s="1"/>
  <c r="C13" i="3"/>
  <c r="E13" i="3" s="1"/>
  <c r="J28" i="3"/>
  <c r="L28" i="3" s="1"/>
  <c r="L41" i="3" l="1"/>
  <c r="G41" i="3"/>
  <c r="L15" i="3"/>
  <c r="G9" i="3"/>
  <c r="L48" i="3"/>
  <c r="G48" i="3"/>
  <c r="L39" i="3"/>
  <c r="G39" i="3"/>
  <c r="L51" i="3"/>
  <c r="G51" i="3"/>
  <c r="L34" i="3"/>
  <c r="G34" i="3"/>
  <c r="L30" i="3"/>
  <c r="G30" i="3"/>
  <c r="L24" i="3"/>
  <c r="G24" i="3"/>
  <c r="G27" i="3"/>
  <c r="L16" i="3"/>
  <c r="G16" i="3"/>
  <c r="L23" i="3"/>
  <c r="E9" i="3"/>
  <c r="C24" i="3"/>
  <c r="C25" i="3"/>
  <c r="C26" i="3" l="1"/>
</calcChain>
</file>

<file path=xl/sharedStrings.xml><?xml version="1.0" encoding="utf-8"?>
<sst xmlns="http://schemas.openxmlformats.org/spreadsheetml/2006/main" count="1231" uniqueCount="429">
  <si>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</si>
  <si>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</si>
  <si>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</si>
  <si>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</si>
  <si>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</si>
  <si>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</si>
  <si>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</si>
  <si>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</si>
  <si>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</si>
  <si>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</si>
  <si>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</si>
  <si>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</si>
  <si>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Taxi</t>
  </si>
  <si>
    <t>Laundry</t>
  </si>
  <si>
    <t>Entertainment Subscription</t>
  </si>
  <si>
    <t>Food Out</t>
  </si>
  <si>
    <t>Life Insurance (AARP)</t>
  </si>
  <si>
    <t>Grocery Store</t>
  </si>
  <si>
    <t>To</t>
    <phoneticPr fontId="6" type="noConversion"/>
  </si>
  <si>
    <t xml:space="preserve"> </t>
    <phoneticPr fontId="6" type="noConversion"/>
  </si>
  <si>
    <t>Overdraft</t>
    <phoneticPr fontId="6" type="noConversion"/>
  </si>
  <si>
    <t>Regular NY Trips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</si>
  <si>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</si>
  <si>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</si>
  <si>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</si>
  <si>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</si>
  <si>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</si>
  <si>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</si>
  <si>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</si>
  <si>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for Groceries</t>
    <phoneticPr fontId="6" type="noConversion"/>
  </si>
  <si>
    <t>Exp</t>
    <phoneticPr fontId="6" type="noConversion"/>
  </si>
  <si>
    <t>CM Credit Cards</t>
    <phoneticPr fontId="6" type="noConversion"/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</si>
  <si>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</si>
  <si>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</si>
  <si>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</si>
  <si>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</si>
  <si>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</si>
  <si>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</si>
  <si>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Public Transit</t>
  </si>
  <si>
    <t>Bank Interest</t>
  </si>
  <si>
    <t>Bank Interest</t>
    <phoneticPr fontId="6" type="noConversion"/>
  </si>
  <si>
    <t>Storage</t>
  </si>
  <si>
    <t>Gas Electric</t>
  </si>
  <si>
    <t>First Premier</t>
  </si>
  <si>
    <t>Accessories</t>
  </si>
  <si>
    <t>Over the counter (OTC)</t>
  </si>
  <si>
    <t>Body Care</t>
  </si>
  <si>
    <t>cosmetics</t>
    <phoneticPr fontId="6" type="noConversion"/>
  </si>
  <si>
    <t>TD Bank</t>
    <phoneticPr fontId="6" type="noConversion"/>
  </si>
  <si>
    <t>TD Bank (Visa)</t>
    <phoneticPr fontId="6" type="noConversion"/>
  </si>
  <si>
    <t>ADP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</si>
  <si>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</si>
  <si>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</si>
  <si>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</si>
  <si>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</si>
  <si>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</si>
  <si>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</si>
  <si>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</si>
  <si>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</si>
  <si>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</si>
  <si>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for Groceries</t>
  </si>
  <si>
    <t>Cleaning Supplies</t>
  </si>
  <si>
    <t>M/P/Massage</t>
  </si>
  <si>
    <t>Cash</t>
  </si>
  <si>
    <t>Donations</t>
  </si>
  <si>
    <t>UA Cash</t>
  </si>
  <si>
    <t>DA Cash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</si>
  <si>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</si>
  <si>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</si>
  <si>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</si>
  <si>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</si>
  <si>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</si>
  <si>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</si>
  <si>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</si>
  <si>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>KY#15-Food Out</t>
  </si>
  <si>
    <t>Ky15-Food Out</t>
  </si>
  <si>
    <t xml:space="preserve">Meds Mthly Due </t>
  </si>
  <si>
    <t>Groceries</t>
  </si>
  <si>
    <t>KY15-Food Out</t>
  </si>
  <si>
    <t>KY15-Urber</t>
  </si>
  <si>
    <t>Parson's</t>
  </si>
  <si>
    <t>Whitney Mus - Parsons</t>
  </si>
  <si>
    <t xml:space="preserve">TDB *Monthly </t>
  </si>
  <si>
    <t>Cash Speedway</t>
  </si>
  <si>
    <t>CM Jewelry purchase</t>
  </si>
  <si>
    <t>LM Jewelry</t>
  </si>
  <si>
    <t>TDB - 2069 - Main Fee</t>
  </si>
  <si>
    <t>4978 - Rohoboth Spa</t>
  </si>
  <si>
    <t>Cash Tip</t>
  </si>
  <si>
    <t>Cash - Teach Supplies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</si>
  <si>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</si>
  <si>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</si>
  <si>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</si>
  <si>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</si>
  <si>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</si>
  <si>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</si>
  <si>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</si>
  <si>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</si>
  <si>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</si>
  <si>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NJJ - Cash</t>
  </si>
  <si>
    <t>4978 LH Mtg</t>
  </si>
  <si>
    <t>TBD4978-Houseware</t>
  </si>
  <si>
    <t>TDB - 4978 - CT 12.00</t>
  </si>
  <si>
    <t>Cash - Nail Care</t>
  </si>
  <si>
    <t>Cash Groceries</t>
  </si>
  <si>
    <t>Cash Groceries/Gary</t>
  </si>
  <si>
    <t>4978 SpeedWash</t>
  </si>
  <si>
    <t>Cash NJ Jitty Bus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</si>
  <si>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</si>
  <si>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</si>
  <si>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</si>
  <si>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</si>
  <si>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</si>
  <si>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</si>
  <si>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</si>
  <si>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</si>
  <si>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</si>
  <si>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</si>
  <si>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</si>
  <si>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</si>
  <si>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</si>
  <si>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</si>
  <si>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</si>
  <si>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</si>
  <si>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</si>
  <si>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</si>
  <si>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</si>
  <si>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</si>
  <si>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</si>
  <si>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</si>
  <si>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</si>
  <si>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</si>
  <si>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</si>
  <si>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</si>
  <si>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</si>
  <si>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</si>
  <si>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</si>
  <si>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</si>
  <si>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</si>
  <si>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</si>
  <si>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</si>
  <si>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</si>
  <si>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</si>
  <si>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</si>
  <si>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</si>
  <si>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</si>
  <si>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</si>
  <si>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</si>
  <si>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</si>
  <si>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</si>
  <si>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</si>
  <si>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</si>
  <si>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</si>
  <si>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</si>
  <si>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</si>
  <si>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</si>
  <si>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</si>
  <si>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</si>
  <si>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</si>
  <si>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</si>
  <si>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</si>
  <si>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>Acorn TV</t>
  </si>
  <si>
    <t>TDB KY15-Air Travel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</si>
  <si>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</si>
  <si>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</si>
  <si>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</si>
  <si>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</si>
  <si>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</si>
  <si>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</si>
  <si>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</si>
  <si>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</si>
  <si>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</si>
  <si>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</si>
  <si>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</si>
  <si>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</si>
  <si>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</si>
  <si>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</si>
  <si>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Housekeeper</t>
  </si>
  <si>
    <t>Cash/Ironing</t>
  </si>
  <si>
    <t>for Federal Taxes - FVB - 1380</t>
  </si>
  <si>
    <t>FVB - 1380/1040 2016 Taxes</t>
  </si>
  <si>
    <t>for Consultant - FVB - 1380</t>
  </si>
  <si>
    <t>Gift</t>
  </si>
  <si>
    <t>for Rent -FVB - 1380</t>
  </si>
  <si>
    <t>Due Date and Monthly Amount</t>
  </si>
  <si>
    <t>Ky#15-Wine</t>
  </si>
  <si>
    <t>Cash - NJ Gitty</t>
  </si>
  <si>
    <t>TDB - 4978(38.67 VDC - 3.00 Cash/extra)</t>
  </si>
  <si>
    <t>TDB - 4978(2.00 cash tip)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</si>
  <si>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</si>
  <si>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</si>
  <si>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</si>
  <si>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</si>
  <si>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</si>
  <si>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</si>
  <si>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</si>
  <si>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</si>
  <si>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</si>
  <si>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</si>
  <si>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for Consultant-FVB-1380 Accountant</t>
  </si>
  <si>
    <t>TDB - 4978 - LM KY Utilities</t>
  </si>
  <si>
    <t>?</t>
  </si>
  <si>
    <t>Consultant - Juan A (Excel)</t>
  </si>
  <si>
    <t>TDB - 4978 - Landlady</t>
  </si>
  <si>
    <t>for Accessories - FVB - 1380</t>
  </si>
  <si>
    <t>FVB - 1380 - Jewelry</t>
  </si>
  <si>
    <t>FVB - 1380  -Watch Band</t>
  </si>
  <si>
    <t>TDB - 4978 - DVD Rental</t>
  </si>
  <si>
    <t>TDB - 4978 - NYC Metro Card</t>
  </si>
  <si>
    <t>TDB - 4978 - Acme - 83.91 - including $20.00 cash back</t>
  </si>
  <si>
    <t>Cash - JA Transportation ?</t>
  </si>
  <si>
    <t>TDB - 4978 - Life Term Monthly*</t>
  </si>
  <si>
    <t>TDB - 4978 - Heavy Bags Parsons</t>
  </si>
  <si>
    <t>TDB - 4978 - Medical Labs</t>
  </si>
  <si>
    <t>TDB - 4978 - OverDraft</t>
  </si>
  <si>
    <t>TDB Direct Deposit*</t>
  </si>
  <si>
    <t>for Rent - FVB - 1380</t>
  </si>
  <si>
    <t>for Cablevision - 53B - 4896</t>
  </si>
  <si>
    <t>ATT</t>
  </si>
  <si>
    <t>Cash - Misha (Networking)</t>
  </si>
  <si>
    <t>Cash -NJ Jitty</t>
  </si>
  <si>
    <t xml:space="preserve">Cash </t>
  </si>
  <si>
    <t>12 Step Mtg</t>
  </si>
  <si>
    <t>Flowers-LH-Sick</t>
  </si>
  <si>
    <t>Travel</t>
  </si>
  <si>
    <t>TDB - 4978 - gas</t>
  </si>
  <si>
    <t>TDB - 4978 - Total charge on card: $128.21</t>
  </si>
  <si>
    <t>TDB - 4978 - Total charge on card: $128.71</t>
  </si>
  <si>
    <t>TDB - 4978-Pier 1</t>
  </si>
  <si>
    <t>TDB - 4978+80.00 Cash - Total charge on card: $197.28</t>
  </si>
  <si>
    <t>Visa 5474</t>
  </si>
  <si>
    <t>Cash-Students Class Food</t>
  </si>
  <si>
    <t>TDB - 4978-Piquero Café</t>
  </si>
  <si>
    <t>TDB - 4978- PossoPomodoro</t>
  </si>
  <si>
    <t>TDB - 4978- NS Dining</t>
  </si>
  <si>
    <t>TDB - 4978-Movie Rental</t>
  </si>
  <si>
    <t>TDB - 4978 Acorn Mthly</t>
  </si>
  <si>
    <t>TDB Ck#209 -2016</t>
  </si>
  <si>
    <t>TDB - 4978 - Total charge on card: $94.78</t>
  </si>
  <si>
    <t>TDB - 4978-Monthly</t>
  </si>
  <si>
    <t>TDB - 4978 - Total charge on card: $55.79?</t>
  </si>
  <si>
    <t>TDB - 4978+10 Tip Cash-Manicure+Nail Polish</t>
  </si>
  <si>
    <t>Cash-NJ Jitty Bus</t>
  </si>
  <si>
    <t>TDB - 4978-Garden of Eden</t>
  </si>
  <si>
    <t>Chase Visa 5478 - Total charge on card: $45.83</t>
  </si>
  <si>
    <t>Chase Visa 5478 - Speed Laundry</t>
  </si>
  <si>
    <t>TDB- Check 2069</t>
  </si>
  <si>
    <t>l</t>
  </si>
  <si>
    <t>TDB- Check 2069-Overdraft</t>
  </si>
  <si>
    <t>TDB- Check 2069-Monthly Fee</t>
  </si>
  <si>
    <t>TDB-Monthly Fee</t>
  </si>
  <si>
    <t>for Grocery Store - 53B - 4896</t>
  </si>
  <si>
    <t>Cash-Beyti</t>
  </si>
  <si>
    <t>for Office Supplies - FVB - 1380</t>
  </si>
  <si>
    <t>for Google Cloud Service - FVB - 1380</t>
  </si>
  <si>
    <t>Cash-Haircut</t>
  </si>
  <si>
    <t>Amazon Prime Visa - 5474</t>
  </si>
  <si>
    <t>Cash-Dainobu</t>
  </si>
  <si>
    <t>McDonald's</t>
  </si>
  <si>
    <t>Speedway + Dry Cleaning</t>
  </si>
  <si>
    <t>Home Depot</t>
  </si>
  <si>
    <t>NJ Jitty</t>
  </si>
  <si>
    <t>Missouri 3655-New</t>
  </si>
  <si>
    <t>Spending Plan</t>
  </si>
  <si>
    <t>Percent Difference</t>
  </si>
  <si>
    <t>Income Plan</t>
  </si>
  <si>
    <t>Percentage Difference</t>
  </si>
  <si>
    <t>Actuals</t>
  </si>
  <si>
    <t>Bills</t>
  </si>
  <si>
    <t>Household</t>
  </si>
  <si>
    <t>Maintenance Repair</t>
  </si>
  <si>
    <t>Bank Fees</t>
  </si>
  <si>
    <t>Amazon v5475</t>
  </si>
  <si>
    <t>Car Rental</t>
  </si>
  <si>
    <t>Yoga/Gym</t>
  </si>
  <si>
    <t>Fred Henry</t>
  </si>
  <si>
    <t>Robert Rich</t>
  </si>
  <si>
    <t>United Health Insurance</t>
  </si>
  <si>
    <t>Long Term Health Care</t>
  </si>
  <si>
    <t>New York State Tax</t>
  </si>
  <si>
    <t>January</t>
  </si>
  <si>
    <t>February</t>
  </si>
  <si>
    <t>March</t>
  </si>
  <si>
    <t>April</t>
  </si>
  <si>
    <t xml:space="preserve">May </t>
  </si>
  <si>
    <t>June</t>
  </si>
  <si>
    <t>July</t>
  </si>
  <si>
    <t>August</t>
  </si>
  <si>
    <t>September</t>
  </si>
  <si>
    <t>October</t>
  </si>
  <si>
    <t>November</t>
  </si>
  <si>
    <t>December</t>
  </si>
  <si>
    <t>Note</t>
  </si>
  <si>
    <t>Subcategory</t>
  </si>
  <si>
    <t>Food</t>
  </si>
  <si>
    <t>Transport</t>
  </si>
  <si>
    <t>Debts</t>
  </si>
  <si>
    <t>Credit Card</t>
  </si>
  <si>
    <t>Amazon Chase - 5474</t>
  </si>
  <si>
    <t>Home Depot - 3655</t>
  </si>
  <si>
    <t>Notes</t>
  </si>
  <si>
    <t>Credit_Cards</t>
  </si>
  <si>
    <t>Self_Care</t>
  </si>
  <si>
    <t>Tax_Deduct</t>
  </si>
  <si>
    <t>Taxes</t>
  </si>
  <si>
    <t>Entertainment</t>
  </si>
  <si>
    <t>Movies</t>
  </si>
  <si>
    <t>Personal Subscriptions</t>
  </si>
  <si>
    <t>Back Blaze</t>
  </si>
  <si>
    <t>TDB - 4978? J Crew</t>
  </si>
  <si>
    <t>FVB - 1380-CM CC</t>
  </si>
  <si>
    <t>Cash-Food Out</t>
  </si>
  <si>
    <t>TDB - 4978-Food Out-KY Trip#17 (CM)</t>
  </si>
  <si>
    <t>Cash-Tip-Food Out-KY Trip#17(CM)</t>
  </si>
  <si>
    <t>TDB - 4978-for LM KY Trip 17</t>
  </si>
  <si>
    <t>Amazon Prime Visa - 5474-Urber-KY trip 17-Tip</t>
  </si>
  <si>
    <t>Amazon Prime Visa - 5474-Urber-KY Trip 17-Tip</t>
  </si>
  <si>
    <t>TDB - 4978-Food Out-KY Trip#17 (LM/CM)</t>
  </si>
  <si>
    <t xml:space="preserve">TDB - 4978-Food Na Airport KY Trip 17 </t>
  </si>
  <si>
    <t>TDB - 4978- - Total charge on card: $154.79</t>
  </si>
  <si>
    <t>TDB - 4978-Total 154.79?</t>
  </si>
  <si>
    <t>Amazon Prime Visa - 5474-Urber-KY Trip 17</t>
  </si>
  <si>
    <t>TDB- Check 2069 April</t>
  </si>
  <si>
    <t>TDB - 4978-Over-the-Counter (LM)</t>
  </si>
  <si>
    <t>TDB - 4978-rental Cart Newark Airport KY TRIP 17</t>
  </si>
  <si>
    <t>TDB - 4978 ($20 Cash)?</t>
  </si>
  <si>
    <t>TDB - 4978-Bike Upkeep?</t>
  </si>
  <si>
    <t>Cash-UA + VDA</t>
  </si>
  <si>
    <t>Cash - Tip</t>
  </si>
  <si>
    <t>TDB - 4978-NJ Transit - 9x1.55</t>
  </si>
  <si>
    <t>TDB - 4978 (total 177.40) Acme</t>
  </si>
  <si>
    <t>TDB - 4978 - Piquero Café</t>
  </si>
  <si>
    <t>Cash-tip</t>
  </si>
  <si>
    <t>TDB - 4978 - - Total charge on card: $177..40</t>
  </si>
  <si>
    <t>Cash-Tip-RossoPomo</t>
  </si>
  <si>
    <t>TDB - 4978-Merge Café</t>
  </si>
  <si>
    <t xml:space="preserve">TDB - 4978 Walmart </t>
  </si>
  <si>
    <t>Home Depot Card-3655 ?</t>
  </si>
  <si>
    <t>TDB - 4978-Speed Wash</t>
  </si>
  <si>
    <t>TDB - 4978-State Fram</t>
  </si>
  <si>
    <t xml:space="preserve">Cash-Jitty </t>
  </si>
  <si>
    <t>TDB - 4978-CV-Allergies - Total 47.50</t>
  </si>
  <si>
    <t>TDB - 4978-Metro Card</t>
  </si>
  <si>
    <t xml:space="preserve">TDB - 4978-Piq Rest </t>
  </si>
  <si>
    <t>Amazon Prime Visa - 5474-Urber</t>
  </si>
  <si>
    <t>TDB - 4978- Acme Food</t>
  </si>
  <si>
    <t>TDB - 4978-Acme Cash</t>
  </si>
  <si>
    <t>Cash-NJ Jitty</t>
  </si>
  <si>
    <t>TDB - 4978-Starbucks</t>
  </si>
  <si>
    <t>Cash-DAV</t>
  </si>
  <si>
    <t xml:space="preserve">TDB - 4978-RosoPomo </t>
  </si>
  <si>
    <t>TDB - 4978-Spelt Bread - Total charge on card: $26.85</t>
  </si>
  <si>
    <t>Cash-VDA</t>
  </si>
  <si>
    <t>TDB - 4978-Acme Mtly Prescriptions - including $20.00 cash back - Total charge on card: $130.63</t>
  </si>
  <si>
    <t>TDB - 4978-Parsons Food</t>
  </si>
  <si>
    <t>Cash-Appt JA</t>
  </si>
  <si>
    <t>FVB - 1380-Refrig (Genesis CC 3655)*</t>
  </si>
  <si>
    <t>TDB - 4978-McNulty's</t>
  </si>
  <si>
    <t xml:space="preserve">TDB - 4978-Breads </t>
  </si>
  <si>
    <t>TDB - 4978- O's Restaurant</t>
  </si>
  <si>
    <t>TDB - 4978 - Total charge on card: $172.20- including $20.00 cash back</t>
  </si>
  <si>
    <t>TDB - 4978 - Total charge on card: $172.20 - including $20. cash back</t>
  </si>
  <si>
    <t>TDB - 4978 - Total charge on card: $172.20 - including $20.00 cash back</t>
  </si>
  <si>
    <t>TDB - 4978-Rojo Hardware</t>
  </si>
  <si>
    <t>Tip</t>
  </si>
  <si>
    <t>Cash-Spring Clean-Edwardo</t>
  </si>
  <si>
    <t>TDB - 4978/Gary Thomas ($50)-Speedwash</t>
  </si>
  <si>
    <t>Genesis 3655/Home Depot - Total charge on card: $117.08</t>
  </si>
  <si>
    <t>Cash-Spring Clean</t>
  </si>
  <si>
    <t>TDB - 4978-Amazon ?</t>
  </si>
  <si>
    <t>Genesis 3655/Home Depot/ - Total charge on card: $121.09</t>
  </si>
  <si>
    <t>53B - 4896 (Access Card)</t>
  </si>
  <si>
    <t>Cash-Gas for her car</t>
  </si>
  <si>
    <t>Amazon Prime Visa - 5474-IKEA</t>
  </si>
  <si>
    <t>TDB - 4978-CC Monthly</t>
  </si>
  <si>
    <t>TDB - 4978-Piq Café</t>
  </si>
  <si>
    <t>FVB - 1380-Lowes Rug/Pads</t>
  </si>
  <si>
    <t>TDB - 4978-O's</t>
  </si>
  <si>
    <t>TDB - 4978-Best Liquors</t>
  </si>
  <si>
    <t>TDB - 4978 - Acme Total charge on card: $137.29- - including $100.00 cash back</t>
  </si>
  <si>
    <t>TDB - 4978 - Total charge on card: $137.00- - including $100.00 cash back</t>
  </si>
  <si>
    <t>Cash-Spring Clean-Gisele V</t>
  </si>
  <si>
    <t>TDB - 4978-Wire Transfer FVB</t>
  </si>
  <si>
    <t>Cash-Spring Clean-Gisele</t>
  </si>
  <si>
    <t>TDB - 4978 - Total charge on card: $38.67</t>
  </si>
  <si>
    <t>TDB - 4978- -Total charge on card: $38.67</t>
  </si>
  <si>
    <t xml:space="preserve">TDB - 4978-ATM Fee </t>
  </si>
  <si>
    <t>53B - 4896-NJ Tansit/CM</t>
  </si>
  <si>
    <t>TDB - 4978-Storage Blue-Monthly</t>
  </si>
  <si>
    <t>TDB - 4978-Pottery Barn Plates</t>
  </si>
  <si>
    <t>TDB - 4978-Amazon Secptic Cleaner</t>
  </si>
  <si>
    <t>TDB - 4978-Amazon-Gift Gisele</t>
  </si>
  <si>
    <t>Cash-Laundry-Ironing</t>
  </si>
  <si>
    <t>TDB - 4978 - Total charge on card: $69.34 - including $20.00 cash back</t>
  </si>
  <si>
    <t>TDB - 4978 - Total charge on card: $58.99 - including $20.00 cash back</t>
  </si>
  <si>
    <t>TDB - 4978 - Total charge on card: $49.71</t>
  </si>
  <si>
    <t>TDB - 4978-NJ Transit</t>
  </si>
  <si>
    <t>TDB - 4978 - Total charge on card: $123.15 - including $40. cash back</t>
  </si>
  <si>
    <t>Cash-Patrick/Spring Clean</t>
  </si>
  <si>
    <t>Amazon Prime Visa - 5474*</t>
  </si>
  <si>
    <t>Chase Amazon v5475</t>
  </si>
  <si>
    <t>PUblic Transit</t>
  </si>
  <si>
    <t>grocery Store</t>
  </si>
  <si>
    <t>for Chase Amazon v5475 - FVB - 1380</t>
  </si>
  <si>
    <t>DD 3rd Wed Mthly</t>
  </si>
  <si>
    <t>for Travel - FVB - 1380</t>
  </si>
  <si>
    <t>TDB</t>
  </si>
  <si>
    <t>Refund to CM - 53rd Bank</t>
  </si>
  <si>
    <t>for Consultant - 53B - 4896</t>
  </si>
  <si>
    <t>LM to CM refund-Deposit TDB</t>
  </si>
  <si>
    <t>for Household Furnishings - FVB - 1380</t>
  </si>
  <si>
    <t>for Food Out - 53B - 4896</t>
  </si>
  <si>
    <t>FVB Wire Transfer</t>
  </si>
  <si>
    <t>for Body Care - 53B - 4896</t>
  </si>
  <si>
    <t>for Maintenance Repair - FVB - 1380</t>
  </si>
  <si>
    <t>for Food Out - FVB - 1380</t>
  </si>
  <si>
    <t>for Public Transit - 53B - 4896</t>
  </si>
  <si>
    <t>Monthly Deposit</t>
  </si>
  <si>
    <t>LM to CM refund</t>
  </si>
  <si>
    <t>for groceries and body care</t>
  </si>
  <si>
    <t>for CeMe design research</t>
  </si>
  <si>
    <t>for Jewelry</t>
  </si>
  <si>
    <t>for Jewlery repair</t>
  </si>
  <si>
    <t>for Groceries (Wine)</t>
  </si>
  <si>
    <t>for Laundry</t>
  </si>
  <si>
    <t>for Parson's expense</t>
  </si>
  <si>
    <t>for Groceries and OTC</t>
  </si>
  <si>
    <t>for Body care</t>
  </si>
  <si>
    <t>for clothes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</si>
</sst>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5" formatCode="m/d/yyyy"/>
    <numFmt numFmtId="166" formatCode="mmmm\-yy"/>
    <numFmt numFmtId="167" formatCode="m/d/yyyy;@"/>
    <numFmt numFmtId="168" formatCode="[$-409]mmm\-yy;@"/>
  </numFmts>
  <fonts count="16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0"/>
      <name val="Verdana"/>
      <family val="2"/>
    </font>
    <font>
      <b/>
      <sz val="48"/>
      <name val="Verdana"/>
      <family val="2"/>
    </font>
    <font>
      <b/>
      <sz val="18"/>
      <name val="Verdana"/>
      <family val="2"/>
    </font>
    <font>
      <sz val="18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1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5" borderId="1" xfId="0" applyFont="1" applyFill="1" applyBorder="1"/>
    <xf numFmtId="0" fontId="11" fillId="5" borderId="5" xfId="0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1" fillId="0" borderId="5" xfId="0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16" fontId="5" fillId="0" borderId="0" xfId="0" applyNumberFormat="1" applyFont="1"/>
    <xf numFmtId="16" fontId="5" fillId="0" borderId="0" xfId="0" applyNumberFormat="1" applyFont="1" applyAlignment="1">
      <alignment wrapText="1"/>
    </xf>
    <xf numFmtId="164" fontId="11" fillId="0" borderId="0" xfId="0" applyNumberFormat="1" applyFont="1"/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0" fontId="11" fillId="0" borderId="8" xfId="0" applyFont="1" applyBorder="1"/>
    <xf numFmtId="0" fontId="5" fillId="0" borderId="1" xfId="0" applyFont="1" applyBorder="1"/>
    <xf numFmtId="164" fontId="11" fillId="7" borderId="1" xfId="0" applyNumberFormat="1" applyFont="1" applyFill="1" applyBorder="1"/>
    <xf numFmtId="164" fontId="9" fillId="7" borderId="1" xfId="0" applyNumberFormat="1" applyFont="1" applyFill="1" applyBorder="1"/>
    <xf numFmtId="0" fontId="9" fillId="0" borderId="0" xfId="0" applyFont="1"/>
    <xf numFmtId="0" fontId="1" fillId="0" borderId="0" xfId="0" applyFont="1"/>
    <xf numFmtId="9" fontId="11" fillId="0" borderId="0" xfId="1" applyFont="1"/>
    <xf numFmtId="9" fontId="0" fillId="0" borderId="0" xfId="1" applyFont="1"/>
    <xf numFmtId="9" fontId="9" fillId="7" borderId="1" xfId="1" applyFont="1" applyFill="1" applyBorder="1"/>
    <xf numFmtId="9" fontId="11" fillId="7" borderId="1" xfId="1" applyFont="1" applyFill="1" applyBorder="1"/>
    <xf numFmtId="0" fontId="9" fillId="7" borderId="0" xfId="0" applyFont="1" applyFill="1" applyBorder="1"/>
    <xf numFmtId="0" fontId="5" fillId="0" borderId="5" xfId="0" applyFont="1" applyBorder="1"/>
    <xf numFmtId="0" fontId="5" fillId="0" borderId="0" xfId="0" applyFont="1" applyBorder="1"/>
    <xf numFmtId="0" fontId="1" fillId="7" borderId="0" xfId="0" applyFont="1" applyFill="1"/>
    <xf numFmtId="0" fontId="1" fillId="8" borderId="0" xfId="0" applyFont="1" applyFill="1"/>
    <xf numFmtId="167" fontId="11" fillId="3" borderId="1" xfId="0" applyNumberFormat="1" applyFont="1" applyFill="1" applyBorder="1"/>
    <xf numFmtId="0" fontId="14" fillId="0" borderId="10" xfId="0" applyFont="1" applyBorder="1" applyAlignment="1">
      <alignment horizontal="center" vertical="center"/>
    </xf>
    <xf numFmtId="0" fontId="15" fillId="0" borderId="0" xfId="0" applyFont="1"/>
    <xf numFmtId="0" fontId="15" fillId="0" borderId="10" xfId="0" applyFont="1" applyBorder="1"/>
    <xf numFmtId="14" fontId="15" fillId="0" borderId="0" xfId="0" applyNumberFormat="1" applyFont="1"/>
    <xf numFmtId="164" fontId="15" fillId="0" borderId="10" xfId="0" applyNumberFormat="1" applyFont="1" applyBorder="1"/>
    <xf numFmtId="14" fontId="0" fillId="0" borderId="0" xfId="0" applyNumberFormat="1"/>
    <xf numFmtId="0" fontId="1" fillId="10" borderId="1" xfId="0" applyFont="1" applyFill="1" applyBorder="1"/>
    <xf numFmtId="0" fontId="0" fillId="4" borderId="0" xfId="0" applyFill="1"/>
    <xf numFmtId="0" fontId="1" fillId="10" borderId="7" xfId="0" applyFont="1" applyFill="1" applyBorder="1"/>
    <xf numFmtId="0" fontId="0" fillId="4" borderId="0" xfId="0" applyFill="1" applyBorder="1"/>
    <xf numFmtId="168" fontId="0" fillId="0" borderId="1" xfId="0" applyNumberFormat="1" applyBorder="1"/>
    <xf numFmtId="165" fontId="1" fillId="2" borderId="11" xfId="0" applyNumberFormat="1" applyFont="1" applyFill="1" applyBorder="1"/>
    <xf numFmtId="0" fontId="0" fillId="0" borderId="9" xfId="0" applyBorder="1"/>
    <xf numFmtId="0" fontId="0" fillId="0" borderId="7" xfId="0" applyBorder="1"/>
    <xf numFmtId="0" fontId="1" fillId="7" borderId="12" xfId="0" applyFont="1" applyFill="1" applyBorder="1"/>
    <xf numFmtId="0" fontId="0" fillId="0" borderId="13" xfId="0" applyBorder="1"/>
    <xf numFmtId="0" fontId="5" fillId="0" borderId="9" xfId="0" applyFont="1" applyBorder="1"/>
    <xf numFmtId="0" fontId="5" fillId="0" borderId="14" xfId="0" applyFont="1" applyBorder="1"/>
    <xf numFmtId="0" fontId="0" fillId="0" borderId="14" xfId="0" applyBorder="1"/>
    <xf numFmtId="0" fontId="5" fillId="0" borderId="12" xfId="0" applyFont="1" applyBorder="1"/>
    <xf numFmtId="0" fontId="5" fillId="0" borderId="15" xfId="0" applyFont="1" applyBorder="1"/>
    <xf numFmtId="0" fontId="10" fillId="0" borderId="0" xfId="0" applyFont="1" applyFill="1" applyAlignment="1">
      <alignment wrapText="1"/>
    </xf>
    <xf numFmtId="0" fontId="10" fillId="0" borderId="1" xfId="0" applyFont="1" applyFill="1" applyBorder="1"/>
    <xf numFmtId="0" fontId="0" fillId="0" borderId="0" xfId="0" applyBorder="1"/>
    <xf numFmtId="0" fontId="10" fillId="6" borderId="0" xfId="0" applyFont="1" applyFill="1" applyAlignment="1"/>
    <xf numFmtId="14" fontId="13" fillId="9" borderId="7" xfId="0" applyNumberFormat="1" applyFont="1" applyFill="1" applyBorder="1" applyAlignment="1">
      <alignment horizontal="center" vertical="center"/>
    </xf>
    <xf numFmtId="0" fontId="13" fillId="9" borderId="9" xfId="0" applyNumberFormat="1" applyFont="1" applyFill="1" applyBorder="1" applyAlignment="1">
      <alignment horizontal="center" vertical="center"/>
    </xf>
    <xf numFmtId="0" fontId="13" fillId="9" borderId="5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65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50800</xdr:rowOff>
        </xdr:from>
        <xdr:to>
          <xdr:col>4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63500</xdr:rowOff>
        </xdr:from>
        <xdr:to>
          <xdr:col>5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254000</xdr:rowOff>
        </xdr:from>
        <xdr:to>
          <xdr:col>5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50800</xdr:rowOff>
        </xdr:from>
        <xdr:to>
          <xdr:col>2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292100</xdr:rowOff>
        </xdr:from>
        <xdr:to>
          <xdr:col>2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0</xdr:row>
          <xdr:rowOff>76200</xdr:rowOff>
        </xdr:from>
        <xdr:to>
          <xdr:col>2</xdr:col>
          <xdr:colOff>2451100</xdr:colOff>
          <xdr:row>0</xdr:row>
          <xdr:rowOff>279400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266700</xdr:rowOff>
        </xdr:from>
        <xdr:to>
          <xdr:col>4</xdr:col>
          <xdr:colOff>977900</xdr:colOff>
          <xdr:row>0</xdr:row>
          <xdr:rowOff>431800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711200</xdr:rowOff>
        </xdr:from>
        <xdr:to>
          <xdr:col>5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0</xdr:row>
          <xdr:rowOff>342900</xdr:rowOff>
        </xdr:from>
        <xdr:to>
          <xdr:col>2</xdr:col>
          <xdr:colOff>2463800</xdr:colOff>
          <xdr:row>0</xdr:row>
          <xdr:rowOff>533400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2120900</xdr:colOff>
          <xdr:row>0</xdr:row>
          <xdr:rowOff>266700</xdr:rowOff>
        </xdr:from>
        <xdr:to>
          <xdr:col>4</xdr:col>
          <xdr:colOff>3048000</xdr:colOff>
          <xdr:row>0</xdr:row>
          <xdr:rowOff>431800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2108200</xdr:colOff>
          <xdr:row>0</xdr:row>
          <xdr:rowOff>50800</xdr:rowOff>
        </xdr:from>
        <xdr:to>
          <xdr:col>4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0</xdr:row>
          <xdr:rowOff>50800</xdr:rowOff>
        </xdr:from>
        <xdr:to>
          <xdr:col>4</xdr:col>
          <xdr:colOff>2057400</xdr:colOff>
          <xdr:row>0</xdr:row>
          <xdr:rowOff>203200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101600</xdr:rowOff>
        </xdr:from>
        <xdr:to>
          <xdr:col>4</xdr:col>
          <xdr:colOff>1435100</xdr:colOff>
          <xdr:row>0</xdr:row>
          <xdr:rowOff>317500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Amazon 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88900</xdr:rowOff>
        </xdr:from>
        <xdr:to>
          <xdr:col>0</xdr:col>
          <xdr:colOff>1295400</xdr:colOff>
          <xdr:row>0</xdr:row>
          <xdr:rowOff>330200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381000</xdr:rowOff>
        </xdr:from>
        <xdr:to>
          <xdr:col>0</xdr:col>
          <xdr:colOff>1295400</xdr:colOff>
          <xdr:row>0</xdr:row>
          <xdr:rowOff>596900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660400</xdr:rowOff>
        </xdr:from>
        <xdr:to>
          <xdr:col>0</xdr:col>
          <xdr:colOff>1295400</xdr:colOff>
          <xdr:row>0</xdr:row>
          <xdr:rowOff>901700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88900</xdr:rowOff>
        </xdr:from>
        <xdr:to>
          <xdr:col>2</xdr:col>
          <xdr:colOff>1257300</xdr:colOff>
          <xdr:row>0</xdr:row>
          <xdr:rowOff>292100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342900</xdr:rowOff>
        </xdr:from>
        <xdr:to>
          <xdr:col>2</xdr:col>
          <xdr:colOff>1257300</xdr:colOff>
          <xdr:row>0</xdr:row>
          <xdr:rowOff>571500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0</xdr:row>
          <xdr:rowOff>114300</xdr:rowOff>
        </xdr:from>
        <xdr:to>
          <xdr:col>2</xdr:col>
          <xdr:colOff>2362200</xdr:colOff>
          <xdr:row>0</xdr:row>
          <xdr:rowOff>304800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0</xdr:row>
          <xdr:rowOff>368300</xdr:rowOff>
        </xdr:from>
        <xdr:to>
          <xdr:col>2</xdr:col>
          <xdr:colOff>2362200</xdr:colOff>
          <xdr:row>0</xdr:row>
          <xdr:rowOff>571500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368300</xdr:rowOff>
        </xdr:from>
        <xdr:to>
          <xdr:col>4</xdr:col>
          <xdr:colOff>1435100</xdr:colOff>
          <xdr:row>0</xdr:row>
          <xdr:rowOff>596900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Home Depot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16667-DE16-E24F-908D-D8678F42D0F0}" name="Table1" displayName="Table1" ref="A1:A12" totalsRowShown="0" headerRowDxfId="47" dataDxfId="46">
  <autoFilter ref="A1:A12" xr:uid="{E228E4B4-E3CD-7249-B204-217B3008A1BF}"/>
  <tableColumns count="1">
    <tableColumn id="1" xr3:uid="{91986111-1954-864F-BD66-9A439CA3C1EA}" name="Category" dataDxfId="45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574509-B3AE-3A4B-B4E3-10C8C2D12D3B}" name="Table2" displayName="Table2" ref="C1:C8" totalsRowShown="0" headerRowDxfId="44" dataDxfId="43" tableBorderDxfId="42">
  <autoFilter ref="C1:C8" xr:uid="{2A590228-3687-B444-87CB-358848A421B5}"/>
  <tableColumns count="1">
    <tableColumn id="1" xr3:uid="{983DBB8C-96C2-F34C-BEDE-1F7201077FD1}" name="Bills" dataDxfId="4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F0F7AD-C141-E149-9AF2-3E826F4E5A6D}" name="Table3" displayName="Table3" ref="D1:D9" totalsRowShown="0" headerRowDxfId="40" headerRowBorderDxfId="39" tableBorderDxfId="38" totalsRowBorderDxfId="37">
  <autoFilter ref="D1:D9" xr:uid="{99A1D8A4-EF69-144A-A66F-F94653C1A4E1}"/>
  <tableColumns count="1">
    <tableColumn id="1" xr3:uid="{038D01D8-1D2A-B546-8C62-162861F77F5F}" name="Household" dataDxfId="3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18FE8A-4EAC-4D4A-9839-6AFCD8A5E28F}" name="Table4" displayName="Table4" ref="E1:E4" totalsRowShown="0" headerRowDxfId="35" dataDxfId="33" headerRowBorderDxfId="34" tableBorderDxfId="32" totalsRowBorderDxfId="31">
  <autoFilter ref="E1:E4" xr:uid="{2E3A8E57-7032-8345-BC42-35665610C801}"/>
  <tableColumns count="1">
    <tableColumn id="1" xr3:uid="{AFD31720-A40E-874B-9382-507F9DC73B02}" name="Credit_Cards" dataDxfId="3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8E11E6-9FB6-D646-8D0D-149F4190B5F7}" name="Table5" displayName="Table5" ref="F1:F4" totalsRowShown="0" headerRowDxfId="29" headerRowBorderDxfId="28" tableBorderDxfId="27" totalsRowBorderDxfId="26">
  <autoFilter ref="F1:F4" xr:uid="{78AA3710-2EC8-FE42-ABFA-03BE3ADEE081}"/>
  <tableColumns count="1">
    <tableColumn id="1" xr3:uid="{E64C9E3F-2DE9-3B42-A4A4-1D938C673590}" name="Food" dataDxfId="2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6B63600-AC6A-314E-956F-2A88366BFF51}" name="Table6" displayName="Table6" ref="G1:G5" totalsRowShown="0" headerRowDxfId="24" headerRowBorderDxfId="23" tableBorderDxfId="22" totalsRowBorderDxfId="21">
  <autoFilter ref="G1:G5" xr:uid="{B5A30155-F586-BC4E-9D42-FC8433098A6E}"/>
  <tableColumns count="1">
    <tableColumn id="1" xr3:uid="{E70CFFC7-FD11-1F40-9E42-F842E8CC2B9E}" name="Transport" dataDxfId="2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AE5E0BE-6355-E84B-B4E0-449FDEB75071}" name="Table7" displayName="Table7" ref="H1:H6" totalsRowShown="0" headerRowDxfId="19" headerRowBorderDxfId="18" tableBorderDxfId="17" totalsRowBorderDxfId="16">
  <autoFilter ref="H1:H6" xr:uid="{0D3FA62F-5818-C84B-BE3D-6F9B9BF804B3}"/>
  <tableColumns count="1">
    <tableColumn id="1" xr3:uid="{C511FD9C-7286-9B4F-8E4F-3104FD2ABC73}" name="Self_Care" dataDxfId="15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CD640A-5310-CB47-B06C-BDAFEF8DA8BD}" name="Table8" displayName="Table8" ref="I1:I3" totalsRowShown="0" headerRowDxfId="14" headerRowBorderDxfId="13" tableBorderDxfId="12" totalsRowBorderDxfId="11">
  <autoFilter ref="I1:I3" xr:uid="{2BF467FE-CC3F-7644-B29E-330922B9D923}"/>
  <tableColumns count="1">
    <tableColumn id="1" xr3:uid="{1CD7F403-48AB-A849-9E2D-B518AA78D1FA}" name="Debts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F8EB4D0-A348-444E-A785-F2DB9DA4FC51}" name="Table9" displayName="Table9" ref="J1:J18" totalsRowShown="0" headerRowDxfId="10" headerRowBorderDxfId="9" tableBorderDxfId="8" totalsRowBorderDxfId="7">
  <autoFilter ref="J1:J18" xr:uid="{7ED657BF-0340-464E-A309-C06383464EEC}"/>
  <tableColumns count="1">
    <tableColumn id="1" xr3:uid="{0394963F-65B7-0242-BCE3-50B716A4D150}" name="Tax_Deduct" dataDxfId="6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42F5744-52B4-3C45-A1EA-A81E5DE5D9B0}" name="Table10" displayName="Table10" ref="K1:L4" totalsRowShown="0" headerRowDxfId="5" headerRowBorderDxfId="4" tableBorderDxfId="3" totalsRowBorderDxfId="2">
  <autoFilter ref="K1:L4" xr:uid="{490655E9-4C3A-8847-ACBF-ABF1B2AF19E8}"/>
  <tableColumns count="2">
    <tableColumn id="1" xr3:uid="{5998B7BE-BD98-4145-8A66-7AEDAE005CC9}" name="Taxes" dataDxfId="1"/>
    <tableColumn id="2" xr3:uid="{6150F257-43BB-A34D-938D-96C84D7D0E73}" name="Entertainm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98"/>
  <sheetViews>
    <sheetView showGridLines="0" zoomScale="136" zoomScaleNormal="136" workbookViewId="0">
      <pane ySplit="1" topLeftCell="A80" activePane="bottomLeft" state="frozen"/>
      <selection pane="bottomLeft" activeCell="C89" sqref="C89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5</v>
      </c>
      <c r="B1" s="7" t="s">
        <v>6</v>
      </c>
      <c r="C1" s="22" t="s">
        <v>7</v>
      </c>
      <c r="D1" s="7" t="s">
        <v>8</v>
      </c>
    </row>
    <row r="2" spans="1:4" x14ac:dyDescent="0.15">
      <c r="A2" s="5">
        <v>41640</v>
      </c>
      <c r="B2" t="s">
        <v>27</v>
      </c>
      <c r="C2" s="14">
        <v>74.489999999999995</v>
      </c>
      <c r="D2" t="s">
        <v>418</v>
      </c>
    </row>
    <row r="3" spans="1:4" x14ac:dyDescent="0.15">
      <c r="A3" s="5">
        <v>41641</v>
      </c>
      <c r="B3" t="s">
        <v>27</v>
      </c>
      <c r="C3" s="14">
        <v>43.09</v>
      </c>
      <c r="D3" t="s">
        <v>418</v>
      </c>
    </row>
    <row r="4" spans="1:4" x14ac:dyDescent="0.15">
      <c r="A4" s="5">
        <v>41643</v>
      </c>
      <c r="B4" t="s">
        <v>27</v>
      </c>
      <c r="C4" s="14">
        <v>45.13</v>
      </c>
      <c r="D4" t="s">
        <v>418</v>
      </c>
    </row>
    <row r="5" spans="1:4" x14ac:dyDescent="0.15">
      <c r="A5" s="5">
        <v>41646</v>
      </c>
      <c r="B5" s="24" t="s">
        <v>27</v>
      </c>
      <c r="C5" s="14">
        <v>1000</v>
      </c>
      <c r="D5" t="s">
        <v>216</v>
      </c>
    </row>
    <row r="6" spans="1:4" x14ac:dyDescent="0.15">
      <c r="A6" s="5">
        <v>41647</v>
      </c>
      <c r="B6" t="s">
        <v>27</v>
      </c>
      <c r="C6" s="14">
        <v>25</v>
      </c>
      <c r="D6" t="s">
        <v>123</v>
      </c>
    </row>
    <row r="7" spans="1:4" x14ac:dyDescent="0.15">
      <c r="A7" s="5">
        <v>41652</v>
      </c>
      <c r="B7" t="s">
        <v>27</v>
      </c>
      <c r="C7" s="14">
        <v>26.87</v>
      </c>
    </row>
    <row r="8" spans="1:4" x14ac:dyDescent="0.15">
      <c r="A8" s="25">
        <v>41655</v>
      </c>
      <c r="B8" s="26" t="s">
        <v>27</v>
      </c>
      <c r="C8" s="27">
        <v>202.23</v>
      </c>
      <c r="D8" s="26" t="s">
        <v>419</v>
      </c>
    </row>
    <row r="9" spans="1:4" x14ac:dyDescent="0.15">
      <c r="A9" s="5">
        <v>41658</v>
      </c>
      <c r="B9" t="s">
        <v>27</v>
      </c>
      <c r="C9" s="14">
        <v>8.7100000000000009</v>
      </c>
      <c r="D9" t="s">
        <v>420</v>
      </c>
    </row>
    <row r="10" spans="1:4" x14ac:dyDescent="0.15">
      <c r="A10" s="5">
        <v>41659</v>
      </c>
      <c r="B10" t="s">
        <v>0</v>
      </c>
      <c r="C10" s="14">
        <v>940</v>
      </c>
      <c r="D10" t="s">
        <v>126</v>
      </c>
    </row>
    <row r="11" spans="1:4" x14ac:dyDescent="0.15">
      <c r="A11" s="5">
        <v>41660</v>
      </c>
      <c r="B11" t="s">
        <v>27</v>
      </c>
      <c r="C11" s="14">
        <v>61.61</v>
      </c>
      <c r="D11" t="s">
        <v>60</v>
      </c>
    </row>
    <row r="12" spans="1:4" x14ac:dyDescent="0.15">
      <c r="A12" s="5">
        <v>41664</v>
      </c>
      <c r="B12" t="s">
        <v>2</v>
      </c>
      <c r="C12" s="14">
        <v>1542.07</v>
      </c>
      <c r="D12" t="s">
        <v>124</v>
      </c>
    </row>
    <row r="13" spans="1:4" x14ac:dyDescent="0.15">
      <c r="A13" s="5">
        <v>41664</v>
      </c>
      <c r="B13" t="s">
        <v>27</v>
      </c>
      <c r="C13" s="14">
        <v>28.06</v>
      </c>
      <c r="D13" t="s">
        <v>60</v>
      </c>
    </row>
    <row r="14" spans="1:4" x14ac:dyDescent="0.15">
      <c r="A14" s="5">
        <v>41664</v>
      </c>
      <c r="B14" s="24" t="s">
        <v>27</v>
      </c>
      <c r="C14" s="14">
        <v>400</v>
      </c>
      <c r="D14" t="s">
        <v>181</v>
      </c>
    </row>
    <row r="15" spans="1:4" x14ac:dyDescent="0.15">
      <c r="A15" s="5">
        <v>41665</v>
      </c>
      <c r="B15" t="s">
        <v>27</v>
      </c>
      <c r="C15" s="14">
        <v>152.41999999999999</v>
      </c>
      <c r="D15" t="s">
        <v>421</v>
      </c>
    </row>
    <row r="16" spans="1:4" x14ac:dyDescent="0.15">
      <c r="A16" s="5">
        <v>41675</v>
      </c>
      <c r="B16" t="s">
        <v>27</v>
      </c>
      <c r="C16" s="14">
        <v>1000</v>
      </c>
      <c r="D16" t="s">
        <v>154</v>
      </c>
    </row>
    <row r="17" spans="1:4" x14ac:dyDescent="0.15">
      <c r="A17" s="25">
        <v>41677</v>
      </c>
      <c r="B17" s="26" t="s">
        <v>27</v>
      </c>
      <c r="C17" s="27">
        <v>93.51</v>
      </c>
      <c r="D17" s="26" t="s">
        <v>60</v>
      </c>
    </row>
    <row r="18" spans="1:4" x14ac:dyDescent="0.15">
      <c r="A18" s="5">
        <v>41677</v>
      </c>
      <c r="B18" t="s">
        <v>27</v>
      </c>
      <c r="C18" s="14">
        <v>154.44999999999999</v>
      </c>
      <c r="D18" t="s">
        <v>217</v>
      </c>
    </row>
    <row r="19" spans="1:4" x14ac:dyDescent="0.15">
      <c r="A19" s="5">
        <v>41679</v>
      </c>
      <c r="B19" t="s">
        <v>27</v>
      </c>
      <c r="C19" s="14">
        <v>19.23</v>
      </c>
      <c r="D19" t="s">
        <v>60</v>
      </c>
    </row>
    <row r="20" spans="1:4" x14ac:dyDescent="0.15">
      <c r="A20" s="5">
        <v>41679</v>
      </c>
      <c r="B20" t="s">
        <v>27</v>
      </c>
      <c r="C20" s="14">
        <v>181.82</v>
      </c>
      <c r="D20" t="s">
        <v>422</v>
      </c>
    </row>
    <row r="21" spans="1:4" x14ac:dyDescent="0.15">
      <c r="A21" s="5">
        <v>41680</v>
      </c>
      <c r="B21" t="s">
        <v>27</v>
      </c>
      <c r="C21" s="14">
        <v>77.52</v>
      </c>
      <c r="D21" t="s">
        <v>125</v>
      </c>
    </row>
    <row r="22" spans="1:4" x14ac:dyDescent="0.15">
      <c r="A22" s="25">
        <v>41681</v>
      </c>
      <c r="B22" s="26" t="s">
        <v>27</v>
      </c>
      <c r="C22" s="27">
        <v>48.38</v>
      </c>
      <c r="D22" s="28" t="s">
        <v>60</v>
      </c>
    </row>
    <row r="23" spans="1:4" x14ac:dyDescent="0.15">
      <c r="A23" s="5">
        <v>41681</v>
      </c>
      <c r="B23" t="s">
        <v>27</v>
      </c>
      <c r="C23" s="14">
        <v>17.29</v>
      </c>
      <c r="D23" t="s">
        <v>60</v>
      </c>
    </row>
    <row r="24" spans="1:4" x14ac:dyDescent="0.15">
      <c r="A24" s="5">
        <v>41681</v>
      </c>
      <c r="B24" t="s">
        <v>27</v>
      </c>
      <c r="C24" s="14">
        <v>18.5</v>
      </c>
      <c r="D24" t="s">
        <v>423</v>
      </c>
    </row>
    <row r="25" spans="1:4" x14ac:dyDescent="0.15">
      <c r="A25" s="5">
        <v>41681</v>
      </c>
      <c r="B25" t="s">
        <v>27</v>
      </c>
      <c r="C25" s="14">
        <v>19.899999999999999</v>
      </c>
      <c r="D25" t="s">
        <v>424</v>
      </c>
    </row>
    <row r="26" spans="1:4" x14ac:dyDescent="0.15">
      <c r="A26" s="5">
        <v>41681</v>
      </c>
      <c r="B26" s="15" t="s">
        <v>27</v>
      </c>
      <c r="C26" s="14">
        <v>28.38</v>
      </c>
      <c r="D26" t="s">
        <v>148</v>
      </c>
    </row>
    <row r="27" spans="1:4" x14ac:dyDescent="0.15">
      <c r="A27" s="5">
        <v>41682</v>
      </c>
      <c r="B27" t="s">
        <v>27</v>
      </c>
      <c r="C27" s="14">
        <v>19.059999999999999</v>
      </c>
      <c r="D27" t="s">
        <v>425</v>
      </c>
    </row>
    <row r="28" spans="1:4" x14ac:dyDescent="0.15">
      <c r="A28" s="5">
        <v>41683</v>
      </c>
      <c r="B28" t="s">
        <v>27</v>
      </c>
      <c r="C28" s="14">
        <v>61.7</v>
      </c>
      <c r="D28" t="s">
        <v>425</v>
      </c>
    </row>
    <row r="29" spans="1:4" x14ac:dyDescent="0.15">
      <c r="A29" s="25">
        <v>41683</v>
      </c>
      <c r="B29" s="26" t="s">
        <v>27</v>
      </c>
      <c r="C29" s="27">
        <v>96.57</v>
      </c>
      <c r="D29" s="26" t="s">
        <v>426</v>
      </c>
    </row>
    <row r="30" spans="1:4" x14ac:dyDescent="0.15">
      <c r="A30" s="5">
        <v>41690</v>
      </c>
      <c r="B30" t="s">
        <v>0</v>
      </c>
      <c r="C30" s="14">
        <v>928</v>
      </c>
      <c r="D30" t="s">
        <v>126</v>
      </c>
    </row>
    <row r="31" spans="1:4" x14ac:dyDescent="0.15">
      <c r="A31" s="5">
        <v>41692</v>
      </c>
      <c r="B31" t="s">
        <v>39</v>
      </c>
      <c r="C31" s="14">
        <v>0.02</v>
      </c>
      <c r="D31" t="s">
        <v>127</v>
      </c>
    </row>
    <row r="32" spans="1:4" x14ac:dyDescent="0.15">
      <c r="A32" s="5">
        <v>41692</v>
      </c>
      <c r="B32" t="s">
        <v>2</v>
      </c>
      <c r="C32" s="14">
        <v>2293.6799999999998</v>
      </c>
      <c r="D32" t="s">
        <v>128</v>
      </c>
    </row>
    <row r="33" spans="1:5" x14ac:dyDescent="0.15">
      <c r="A33" s="5">
        <v>41695</v>
      </c>
      <c r="B33" t="s">
        <v>27</v>
      </c>
      <c r="C33" s="14">
        <v>26.94</v>
      </c>
      <c r="D33" t="s">
        <v>418</v>
      </c>
    </row>
    <row r="34" spans="1:5" x14ac:dyDescent="0.15">
      <c r="A34" s="5">
        <v>41698</v>
      </c>
      <c r="B34" t="s">
        <v>27</v>
      </c>
      <c r="C34" s="14">
        <v>1000</v>
      </c>
      <c r="D34" s="15" t="s">
        <v>183</v>
      </c>
    </row>
    <row r="35" spans="1:5" x14ac:dyDescent="0.15">
      <c r="A35" s="25">
        <v>41701</v>
      </c>
      <c r="B35" s="26" t="s">
        <v>27</v>
      </c>
      <c r="C35" s="27">
        <v>12.36</v>
      </c>
      <c r="D35" s="26" t="s">
        <v>129</v>
      </c>
    </row>
    <row r="36" spans="1:5" x14ac:dyDescent="0.15">
      <c r="A36" s="25">
        <v>41701</v>
      </c>
      <c r="B36" s="26" t="s">
        <v>27</v>
      </c>
      <c r="C36" s="27">
        <v>12.96</v>
      </c>
      <c r="D36" s="26" t="s">
        <v>129</v>
      </c>
    </row>
    <row r="37" spans="1:5" x14ac:dyDescent="0.15">
      <c r="A37" s="5">
        <v>41701</v>
      </c>
      <c r="B37" s="15" t="s">
        <v>27</v>
      </c>
      <c r="C37" s="14">
        <v>12.36</v>
      </c>
      <c r="D37" t="s">
        <v>150</v>
      </c>
      <c r="E37" s="14"/>
    </row>
    <row r="38" spans="1:5" x14ac:dyDescent="0.15">
      <c r="A38" s="5">
        <v>41701</v>
      </c>
      <c r="B38" s="15" t="s">
        <v>27</v>
      </c>
      <c r="C38" s="14">
        <v>12.96</v>
      </c>
      <c r="D38" s="15" t="s">
        <v>152</v>
      </c>
    </row>
    <row r="39" spans="1:5" x14ac:dyDescent="0.15">
      <c r="A39" s="5">
        <v>41702</v>
      </c>
      <c r="B39" t="s">
        <v>27</v>
      </c>
      <c r="C39" s="14">
        <v>77.31</v>
      </c>
      <c r="D39" t="s">
        <v>427</v>
      </c>
    </row>
    <row r="40" spans="1:5" x14ac:dyDescent="0.15">
      <c r="A40" s="5">
        <v>41702</v>
      </c>
      <c r="B40" t="s">
        <v>27</v>
      </c>
      <c r="C40" s="14">
        <v>79.19</v>
      </c>
      <c r="D40" t="s">
        <v>60</v>
      </c>
    </row>
    <row r="41" spans="1:5" x14ac:dyDescent="0.15">
      <c r="A41" s="5">
        <v>41702</v>
      </c>
      <c r="B41" t="s">
        <v>27</v>
      </c>
      <c r="C41" s="14">
        <v>6.99</v>
      </c>
      <c r="D41" t="s">
        <v>60</v>
      </c>
    </row>
    <row r="42" spans="1:5" x14ac:dyDescent="0.15">
      <c r="A42" s="5">
        <v>41703</v>
      </c>
      <c r="B42" t="s">
        <v>27</v>
      </c>
      <c r="C42" s="14">
        <v>102.5</v>
      </c>
      <c r="D42" t="s">
        <v>428</v>
      </c>
    </row>
    <row r="43" spans="1:5" x14ac:dyDescent="0.15">
      <c r="A43" s="5">
        <v>41706</v>
      </c>
      <c r="B43" s="15" t="s">
        <v>27</v>
      </c>
      <c r="C43" s="14">
        <v>2252</v>
      </c>
      <c r="D43" t="s">
        <v>179</v>
      </c>
    </row>
    <row r="44" spans="1:5" x14ac:dyDescent="0.15">
      <c r="A44" s="5">
        <v>41707</v>
      </c>
      <c r="B44" t="s">
        <v>27</v>
      </c>
      <c r="C44" s="14">
        <v>28.29</v>
      </c>
      <c r="D44" t="s">
        <v>60</v>
      </c>
    </row>
    <row r="45" spans="1:5" x14ac:dyDescent="0.15">
      <c r="A45" s="5">
        <v>41711</v>
      </c>
      <c r="B45" t="s">
        <v>27</v>
      </c>
      <c r="C45" s="14">
        <v>169.46</v>
      </c>
      <c r="D45" t="s">
        <v>32</v>
      </c>
    </row>
    <row r="46" spans="1:5" x14ac:dyDescent="0.15">
      <c r="A46" s="5">
        <v>41711</v>
      </c>
      <c r="B46" t="s">
        <v>27</v>
      </c>
      <c r="C46" s="14">
        <v>169.46</v>
      </c>
      <c r="D46" t="s">
        <v>217</v>
      </c>
    </row>
    <row r="47" spans="1:5" x14ac:dyDescent="0.15">
      <c r="A47" s="5">
        <v>41713</v>
      </c>
      <c r="B47" t="s">
        <v>27</v>
      </c>
      <c r="C47" s="14">
        <v>21.65</v>
      </c>
      <c r="D47" s="15" t="s">
        <v>131</v>
      </c>
    </row>
    <row r="48" spans="1:5" x14ac:dyDescent="0.15">
      <c r="A48" s="25">
        <v>41714</v>
      </c>
      <c r="B48" s="28" t="s">
        <v>27</v>
      </c>
      <c r="C48" s="27">
        <v>133.22</v>
      </c>
      <c r="D48" s="28" t="s">
        <v>60</v>
      </c>
    </row>
    <row r="49" spans="1:6" x14ac:dyDescent="0.15">
      <c r="A49" s="5">
        <v>41718</v>
      </c>
      <c r="B49" t="s">
        <v>0</v>
      </c>
      <c r="C49" s="14">
        <v>928</v>
      </c>
      <c r="D49" s="15" t="s">
        <v>130</v>
      </c>
    </row>
    <row r="50" spans="1:6" x14ac:dyDescent="0.15">
      <c r="A50" s="5">
        <v>41720</v>
      </c>
      <c r="B50" s="15" t="s">
        <v>39</v>
      </c>
      <c r="C50" s="14">
        <v>0.02</v>
      </c>
      <c r="D50" s="15" t="s">
        <v>127</v>
      </c>
    </row>
    <row r="51" spans="1:6" x14ac:dyDescent="0.15">
      <c r="A51" s="5">
        <v>41721</v>
      </c>
      <c r="B51" t="s">
        <v>27</v>
      </c>
      <c r="C51" s="14">
        <v>129.56</v>
      </c>
      <c r="D51" s="15" t="s">
        <v>131</v>
      </c>
    </row>
    <row r="52" spans="1:6" x14ac:dyDescent="0.15">
      <c r="A52" s="5">
        <v>41723</v>
      </c>
      <c r="B52" s="15" t="s">
        <v>27</v>
      </c>
      <c r="C52" s="14">
        <v>60.26</v>
      </c>
      <c r="D52" s="15" t="s">
        <v>170</v>
      </c>
      <c r="F52" s="14"/>
    </row>
    <row r="53" spans="1:6" x14ac:dyDescent="0.15">
      <c r="A53" s="5">
        <v>41723</v>
      </c>
      <c r="B53" s="15" t="s">
        <v>27</v>
      </c>
      <c r="C53" s="14">
        <v>9.35</v>
      </c>
      <c r="D53" s="17" t="s">
        <v>171</v>
      </c>
    </row>
    <row r="54" spans="1:6" x14ac:dyDescent="0.15">
      <c r="A54" s="17">
        <v>41724</v>
      </c>
      <c r="B54" s="15" t="s">
        <v>27</v>
      </c>
      <c r="C54" s="14">
        <v>62.49</v>
      </c>
      <c r="D54" t="s">
        <v>148</v>
      </c>
    </row>
    <row r="55" spans="1:6" x14ac:dyDescent="0.15">
      <c r="A55" s="5">
        <v>41725</v>
      </c>
      <c r="B55" t="s">
        <v>27</v>
      </c>
      <c r="C55" s="14">
        <v>190.67</v>
      </c>
      <c r="D55" t="s">
        <v>169</v>
      </c>
    </row>
    <row r="56" spans="1:6" x14ac:dyDescent="0.15">
      <c r="A56" s="5">
        <v>41727</v>
      </c>
      <c r="B56" s="15" t="s">
        <v>165</v>
      </c>
      <c r="C56" s="14">
        <v>500</v>
      </c>
      <c r="D56" s="15" t="s">
        <v>166</v>
      </c>
    </row>
    <row r="57" spans="1:6" x14ac:dyDescent="0.15">
      <c r="A57" s="5">
        <v>41727</v>
      </c>
      <c r="B57" s="15" t="s">
        <v>2</v>
      </c>
      <c r="C57" s="14">
        <v>2293.67</v>
      </c>
      <c r="D57" s="15" t="s">
        <v>215</v>
      </c>
    </row>
    <row r="58" spans="1:6" x14ac:dyDescent="0.15">
      <c r="A58" s="5">
        <v>41729</v>
      </c>
      <c r="B58" s="15" t="s">
        <v>27</v>
      </c>
      <c r="C58" s="14">
        <v>1000</v>
      </c>
      <c r="D58" s="14" t="s">
        <v>154</v>
      </c>
      <c r="E58" s="15"/>
      <c r="F58" s="14"/>
    </row>
    <row r="59" spans="1:6" x14ac:dyDescent="0.15">
      <c r="A59" s="4">
        <v>41731</v>
      </c>
      <c r="B59" s="15" t="s">
        <v>27</v>
      </c>
      <c r="C59" s="2">
        <v>1000</v>
      </c>
      <c r="D59" s="17" t="s">
        <v>202</v>
      </c>
      <c r="E59" s="15"/>
    </row>
    <row r="60" spans="1:6" x14ac:dyDescent="0.15">
      <c r="A60" s="5">
        <v>41737</v>
      </c>
      <c r="B60" s="15" t="s">
        <v>27</v>
      </c>
      <c r="C60" s="14">
        <v>500</v>
      </c>
      <c r="D60" t="s">
        <v>403</v>
      </c>
    </row>
    <row r="61" spans="1:6" x14ac:dyDescent="0.15">
      <c r="A61" s="5">
        <v>41739</v>
      </c>
      <c r="B61" t="s">
        <v>27</v>
      </c>
      <c r="C61" s="14">
        <v>490.75</v>
      </c>
      <c r="D61" s="15" t="s">
        <v>181</v>
      </c>
    </row>
    <row r="62" spans="1:6" x14ac:dyDescent="0.15">
      <c r="A62" s="4">
        <v>41739</v>
      </c>
      <c r="B62" s="15" t="s">
        <v>27</v>
      </c>
      <c r="C62" s="2">
        <v>562.25</v>
      </c>
      <c r="D62" t="s">
        <v>199</v>
      </c>
    </row>
    <row r="63" spans="1:6" x14ac:dyDescent="0.15">
      <c r="A63" s="5">
        <v>41739</v>
      </c>
      <c r="B63" s="15" t="s">
        <v>27</v>
      </c>
      <c r="C63" s="14">
        <v>380.67</v>
      </c>
      <c r="D63" s="15" t="s">
        <v>204</v>
      </c>
    </row>
    <row r="64" spans="1:6" x14ac:dyDescent="0.15">
      <c r="A64" s="17">
        <v>41745</v>
      </c>
      <c r="B64" s="15" t="s">
        <v>195</v>
      </c>
      <c r="C64" s="14">
        <v>17.350000000000001</v>
      </c>
      <c r="D64" t="s">
        <v>218</v>
      </c>
    </row>
    <row r="65" spans="1:4" x14ac:dyDescent="0.15">
      <c r="A65" s="5">
        <v>41746</v>
      </c>
      <c r="B65" s="15" t="s">
        <v>27</v>
      </c>
      <c r="C65" s="14">
        <v>43.4</v>
      </c>
      <c r="D65" s="15" t="s">
        <v>204</v>
      </c>
    </row>
    <row r="66" spans="1:4" x14ac:dyDescent="0.15">
      <c r="A66" s="5">
        <v>41746</v>
      </c>
      <c r="B66" s="15" t="s">
        <v>0</v>
      </c>
      <c r="C66" s="14">
        <v>928</v>
      </c>
      <c r="D66" s="15" t="s">
        <v>130</v>
      </c>
    </row>
    <row r="67" spans="1:4" x14ac:dyDescent="0.15">
      <c r="A67" s="5">
        <v>41751</v>
      </c>
      <c r="B67" t="s">
        <v>39</v>
      </c>
      <c r="C67" s="14">
        <v>0.03</v>
      </c>
      <c r="D67" t="s">
        <v>127</v>
      </c>
    </row>
    <row r="68" spans="1:4" x14ac:dyDescent="0.15">
      <c r="A68" s="5">
        <v>41755</v>
      </c>
      <c r="B68" t="s">
        <v>2</v>
      </c>
      <c r="C68" s="14">
        <v>2293.67</v>
      </c>
    </row>
    <row r="69" spans="1:4" x14ac:dyDescent="0.15">
      <c r="A69" s="5">
        <v>41758</v>
      </c>
      <c r="B69" t="s">
        <v>27</v>
      </c>
      <c r="C69" s="2">
        <v>89</v>
      </c>
      <c r="D69" t="s">
        <v>251</v>
      </c>
    </row>
    <row r="70" spans="1:4" x14ac:dyDescent="0.15">
      <c r="A70" s="5">
        <v>41758</v>
      </c>
      <c r="B70" t="s">
        <v>27</v>
      </c>
      <c r="C70" s="14">
        <v>15</v>
      </c>
      <c r="D70" t="s">
        <v>254</v>
      </c>
    </row>
    <row r="71" spans="1:4" x14ac:dyDescent="0.15">
      <c r="A71" s="4">
        <v>41759</v>
      </c>
      <c r="B71" t="s">
        <v>27</v>
      </c>
      <c r="C71" s="2">
        <v>137.55000000000001</v>
      </c>
      <c r="D71" t="s">
        <v>253</v>
      </c>
    </row>
    <row r="72" spans="1:4" x14ac:dyDescent="0.15">
      <c r="A72" s="5">
        <v>41759</v>
      </c>
      <c r="B72" t="s">
        <v>27</v>
      </c>
      <c r="C72" s="14">
        <v>1000</v>
      </c>
      <c r="D72" s="15" t="s">
        <v>154</v>
      </c>
    </row>
    <row r="73" spans="1:4" x14ac:dyDescent="0.15">
      <c r="A73" s="4">
        <v>41774</v>
      </c>
      <c r="B73" s="15" t="s">
        <v>0</v>
      </c>
      <c r="C73" s="2">
        <v>928</v>
      </c>
      <c r="D73" t="s">
        <v>404</v>
      </c>
    </row>
    <row r="74" spans="1:4" x14ac:dyDescent="0.15">
      <c r="A74" s="4">
        <v>41778</v>
      </c>
      <c r="B74" t="s">
        <v>27</v>
      </c>
      <c r="C74" s="2">
        <v>10.42</v>
      </c>
      <c r="D74" t="s">
        <v>405</v>
      </c>
    </row>
    <row r="75" spans="1:4" x14ac:dyDescent="0.15">
      <c r="A75" s="4">
        <v>41778</v>
      </c>
      <c r="B75" s="15" t="s">
        <v>27</v>
      </c>
      <c r="C75" s="2">
        <v>25</v>
      </c>
      <c r="D75" t="s">
        <v>405</v>
      </c>
    </row>
    <row r="76" spans="1:4" x14ac:dyDescent="0.15">
      <c r="A76" s="4">
        <v>41778</v>
      </c>
      <c r="B76" s="15" t="s">
        <v>27</v>
      </c>
      <c r="C76" s="2">
        <v>25</v>
      </c>
      <c r="D76" t="s">
        <v>405</v>
      </c>
    </row>
    <row r="77" spans="1:4" x14ac:dyDescent="0.15">
      <c r="A77" s="4">
        <v>41781</v>
      </c>
      <c r="B77" t="s">
        <v>39</v>
      </c>
      <c r="C77" s="2">
        <v>0.05</v>
      </c>
      <c r="D77" t="s">
        <v>406</v>
      </c>
    </row>
    <row r="78" spans="1:4" x14ac:dyDescent="0.15">
      <c r="A78" s="4">
        <v>41788</v>
      </c>
      <c r="B78" t="s">
        <v>27</v>
      </c>
      <c r="C78" s="2">
        <v>500</v>
      </c>
      <c r="D78" t="s">
        <v>407</v>
      </c>
    </row>
    <row r="79" spans="1:4" x14ac:dyDescent="0.15">
      <c r="A79" s="4">
        <v>41795</v>
      </c>
      <c r="B79" t="s">
        <v>27</v>
      </c>
      <c r="C79" s="2">
        <v>500</v>
      </c>
      <c r="D79" t="s">
        <v>408</v>
      </c>
    </row>
    <row r="80" spans="1:4" x14ac:dyDescent="0.15">
      <c r="A80" s="4">
        <v>41795</v>
      </c>
      <c r="B80" t="s">
        <v>27</v>
      </c>
      <c r="C80" s="2">
        <v>500</v>
      </c>
      <c r="D80" t="s">
        <v>409</v>
      </c>
    </row>
    <row r="81" spans="1:4" x14ac:dyDescent="0.15">
      <c r="A81" s="4">
        <v>41796</v>
      </c>
      <c r="B81" t="s">
        <v>27</v>
      </c>
      <c r="C81" s="2">
        <v>876.87</v>
      </c>
      <c r="D81" t="s">
        <v>410</v>
      </c>
    </row>
    <row r="82" spans="1:4" x14ac:dyDescent="0.15">
      <c r="A82" s="4">
        <v>41801</v>
      </c>
      <c r="B82" t="s">
        <v>27</v>
      </c>
      <c r="C82" s="2">
        <v>9.57</v>
      </c>
      <c r="D82" t="s">
        <v>411</v>
      </c>
    </row>
    <row r="83" spans="1:4" x14ac:dyDescent="0.15">
      <c r="A83" s="4">
        <v>41801</v>
      </c>
      <c r="B83" t="s">
        <v>27</v>
      </c>
      <c r="C83" s="2">
        <v>707.34</v>
      </c>
      <c r="D83" t="s">
        <v>410</v>
      </c>
    </row>
    <row r="84" spans="1:4" x14ac:dyDescent="0.15">
      <c r="A84" s="4">
        <v>41803</v>
      </c>
      <c r="B84" t="s">
        <v>27</v>
      </c>
      <c r="C84" s="2">
        <v>89.98</v>
      </c>
      <c r="D84" t="s">
        <v>410</v>
      </c>
    </row>
    <row r="85" spans="1:4" x14ac:dyDescent="0.15">
      <c r="A85" s="4">
        <v>41804</v>
      </c>
      <c r="B85" t="s">
        <v>27</v>
      </c>
      <c r="C85" s="2">
        <v>500</v>
      </c>
      <c r="D85" t="s">
        <v>412</v>
      </c>
    </row>
    <row r="86" spans="1:4" x14ac:dyDescent="0.15">
      <c r="A86" s="4">
        <v>41805</v>
      </c>
      <c r="B86" t="s">
        <v>27</v>
      </c>
      <c r="C86" s="2">
        <v>34</v>
      </c>
      <c r="D86" t="s">
        <v>413</v>
      </c>
    </row>
    <row r="87" spans="1:4" x14ac:dyDescent="0.15">
      <c r="A87" s="4">
        <v>41805</v>
      </c>
      <c r="B87" t="s">
        <v>27</v>
      </c>
      <c r="C87" s="2">
        <v>7.77</v>
      </c>
      <c r="D87" t="s">
        <v>411</v>
      </c>
    </row>
    <row r="88" spans="1:4" x14ac:dyDescent="0.15">
      <c r="A88" s="4">
        <v>41807</v>
      </c>
      <c r="B88" t="s">
        <v>27</v>
      </c>
      <c r="C88" s="2">
        <v>76.319999999999993</v>
      </c>
      <c r="D88" t="s">
        <v>414</v>
      </c>
    </row>
    <row r="89" spans="1:4" x14ac:dyDescent="0.15">
      <c r="A89" s="4">
        <v>41808</v>
      </c>
      <c r="B89" t="s">
        <v>27</v>
      </c>
      <c r="D89" t="s">
        <v>170</v>
      </c>
    </row>
    <row r="90" spans="1:4" x14ac:dyDescent="0.15">
      <c r="A90" s="4">
        <v>41808</v>
      </c>
      <c r="B90" t="s">
        <v>27</v>
      </c>
      <c r="D90" t="s">
        <v>253</v>
      </c>
    </row>
    <row r="91" spans="1:4" x14ac:dyDescent="0.15">
      <c r="A91" s="4">
        <v>41808</v>
      </c>
      <c r="B91" t="s">
        <v>27</v>
      </c>
      <c r="D91" t="s">
        <v>170</v>
      </c>
    </row>
    <row r="92" spans="1:4" x14ac:dyDescent="0.15">
      <c r="A92" s="4">
        <v>41808</v>
      </c>
      <c r="B92" t="s">
        <v>27</v>
      </c>
      <c r="C92" s="2">
        <v>116.47</v>
      </c>
      <c r="D92" t="s">
        <v>253</v>
      </c>
    </row>
    <row r="93" spans="1:4" x14ac:dyDescent="0.15">
      <c r="A93" s="4">
        <v>41808</v>
      </c>
      <c r="B93" t="s">
        <v>27</v>
      </c>
      <c r="D93" t="s">
        <v>253</v>
      </c>
    </row>
    <row r="94" spans="1:4" x14ac:dyDescent="0.15">
      <c r="A94" s="4">
        <v>41808</v>
      </c>
      <c r="B94" t="s">
        <v>27</v>
      </c>
      <c r="C94" s="2">
        <v>15.05</v>
      </c>
      <c r="D94" t="s">
        <v>415</v>
      </c>
    </row>
    <row r="95" spans="1:4" x14ac:dyDescent="0.15">
      <c r="A95" s="4">
        <v>41808</v>
      </c>
      <c r="B95" t="s">
        <v>27</v>
      </c>
      <c r="C95" s="2">
        <v>4.6500000000000004</v>
      </c>
      <c r="D95" t="s">
        <v>416</v>
      </c>
    </row>
    <row r="96" spans="1:4" x14ac:dyDescent="0.15">
      <c r="A96" s="4">
        <v>41809</v>
      </c>
      <c r="B96" t="s">
        <v>0</v>
      </c>
      <c r="C96" s="2">
        <v>928</v>
      </c>
      <c r="D96" t="s">
        <v>417</v>
      </c>
    </row>
    <row r="97" spans="1:4" x14ac:dyDescent="0.15">
      <c r="A97" s="4">
        <v>41811</v>
      </c>
      <c r="B97" t="s">
        <v>27</v>
      </c>
      <c r="C97" s="2">
        <v>308.14</v>
      </c>
      <c r="D97" t="s">
        <v>414</v>
      </c>
    </row>
    <row r="98" spans="1:4" x14ac:dyDescent="0.15">
      <c r="A98" s="4">
        <v>41814</v>
      </c>
      <c r="B98" t="s">
        <v>27</v>
      </c>
      <c r="C98" s="2">
        <v>1500</v>
      </c>
      <c r="D98" t="s">
        <v>409</v>
      </c>
    </row>
  </sheetData>
  <autoFilter ref="A1:D77" xr:uid="{00000000-0009-0000-0000-000000000000}"/>
  <phoneticPr fontId="6" type="noConversion"/>
  <dataValidations count="2">
    <dataValidation type="list" allowBlank="1" showInputMessage="1" showErrorMessage="1" sqref="E58 E52" xr:uid="{46A1ED59-F790-7E46-9627-5FD35BC2831A}">
      <formula1>expenses</formula1>
    </dataValidation>
    <dataValidation type="list" allowBlank="1" showInputMessage="1" showErrorMessage="1" sqref="B2:B1048576" xr:uid="{00000000-0002-0000-0000-000000000000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3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F501"/>
  <sheetViews>
    <sheetView zoomScale="107" zoomScaleNormal="122" workbookViewId="0">
      <pane ySplit="1" topLeftCell="A2" activePane="bottomLeft" state="frozen"/>
      <selection pane="bottomLeft" activeCell="A520" sqref="A520"/>
    </sheetView>
  </sheetViews>
  <sheetFormatPr baseColWidth="10" defaultRowHeight="13" x14ac:dyDescent="0.15"/>
  <cols>
    <col min="1" max="2" width="17.6640625" style="5" customWidth="1"/>
    <col min="3" max="3" width="37.33203125" customWidth="1"/>
    <col min="4" max="4" width="10.6640625" style="2"/>
    <col min="5" max="5" width="41.5" style="8" bestFit="1" customWidth="1"/>
    <col min="6" max="6" width="23" customWidth="1"/>
  </cols>
  <sheetData>
    <row r="1" spans="1:5" ht="93" customHeight="1" thickBot="1" x14ac:dyDescent="0.2">
      <c r="A1" s="18" t="s">
        <v>68</v>
      </c>
      <c r="B1" s="95" t="s">
        <v>71</v>
      </c>
      <c r="C1" s="19" t="s">
        <v>293</v>
      </c>
      <c r="D1" s="20" t="s">
        <v>73</v>
      </c>
      <c r="E1" s="29" t="s">
        <v>300</v>
      </c>
    </row>
    <row r="2" spans="1:5" x14ac:dyDescent="0.15">
      <c r="A2" s="5">
        <v>41640</v>
      </c>
      <c r="C2" t="s">
        <v>37</v>
      </c>
      <c r="D2" s="14">
        <v>25.25</v>
      </c>
      <c r="E2" s="8" t="s">
        <v>94</v>
      </c>
    </row>
    <row r="3" spans="1:5" x14ac:dyDescent="0.15">
      <c r="A3" s="5">
        <v>41640</v>
      </c>
      <c r="C3" t="s">
        <v>27</v>
      </c>
      <c r="D3" s="14">
        <v>74.489999999999995</v>
      </c>
      <c r="E3" s="8" t="s">
        <v>74</v>
      </c>
    </row>
    <row r="4" spans="1:5" x14ac:dyDescent="0.15">
      <c r="A4" s="5">
        <v>41641</v>
      </c>
      <c r="C4" t="s">
        <v>27</v>
      </c>
      <c r="D4" s="14">
        <v>43.09</v>
      </c>
      <c r="E4" s="8" t="s">
        <v>75</v>
      </c>
    </row>
    <row r="5" spans="1:5" x14ac:dyDescent="0.15">
      <c r="A5" s="5">
        <v>41641</v>
      </c>
      <c r="C5" t="s">
        <v>24</v>
      </c>
      <c r="D5" s="14">
        <v>111.12</v>
      </c>
      <c r="E5" s="8" t="s">
        <v>76</v>
      </c>
    </row>
    <row r="6" spans="1:5" x14ac:dyDescent="0.15">
      <c r="A6" s="5">
        <v>41641</v>
      </c>
      <c r="C6" t="s">
        <v>70</v>
      </c>
      <c r="D6" s="14">
        <v>14.55</v>
      </c>
      <c r="E6" s="16" t="s">
        <v>185</v>
      </c>
    </row>
    <row r="7" spans="1:5" x14ac:dyDescent="0.15">
      <c r="A7" s="5">
        <v>41643</v>
      </c>
      <c r="C7" t="s">
        <v>27</v>
      </c>
      <c r="D7" s="14">
        <v>45.13</v>
      </c>
      <c r="E7" s="8" t="s">
        <v>26</v>
      </c>
    </row>
    <row r="8" spans="1:5" x14ac:dyDescent="0.15">
      <c r="A8" s="5">
        <v>41646</v>
      </c>
      <c r="C8" s="15" t="s">
        <v>17</v>
      </c>
      <c r="D8" s="14">
        <v>5.16</v>
      </c>
      <c r="E8" s="8" t="s">
        <v>77</v>
      </c>
    </row>
    <row r="9" spans="1:5" x14ac:dyDescent="0.15">
      <c r="A9" s="5">
        <v>41646</v>
      </c>
      <c r="C9" t="s">
        <v>153</v>
      </c>
      <c r="D9" s="14">
        <v>1000</v>
      </c>
      <c r="E9" s="16" t="s">
        <v>147</v>
      </c>
    </row>
    <row r="10" spans="1:5" x14ac:dyDescent="0.15">
      <c r="A10" s="5">
        <v>41647</v>
      </c>
      <c r="C10" t="s">
        <v>16</v>
      </c>
      <c r="D10" s="14">
        <v>26.38</v>
      </c>
      <c r="E10" s="16" t="s">
        <v>94</v>
      </c>
    </row>
    <row r="11" spans="1:5" x14ac:dyDescent="0.15">
      <c r="A11" s="5">
        <v>41647</v>
      </c>
      <c r="C11" s="24" t="s">
        <v>27</v>
      </c>
      <c r="D11" s="14">
        <v>8.2899999999999991</v>
      </c>
      <c r="E11" s="8" t="s">
        <v>78</v>
      </c>
    </row>
    <row r="12" spans="1:5" x14ac:dyDescent="0.15">
      <c r="A12" s="5">
        <v>41647</v>
      </c>
      <c r="C12" t="s">
        <v>27</v>
      </c>
      <c r="D12" s="14">
        <v>25</v>
      </c>
      <c r="E12" s="16" t="s">
        <v>162</v>
      </c>
    </row>
    <row r="13" spans="1:5" x14ac:dyDescent="0.15">
      <c r="A13" s="5">
        <v>41648</v>
      </c>
      <c r="C13" t="s">
        <v>14</v>
      </c>
      <c r="D13" s="14">
        <v>4.99</v>
      </c>
      <c r="E13" s="16" t="s">
        <v>161</v>
      </c>
    </row>
    <row r="14" spans="1:5" x14ac:dyDescent="0.15">
      <c r="A14" s="5">
        <v>41648</v>
      </c>
      <c r="C14" s="15" t="s">
        <v>12</v>
      </c>
      <c r="D14" s="14">
        <v>26.47</v>
      </c>
      <c r="E14" s="8" t="s">
        <v>79</v>
      </c>
    </row>
    <row r="15" spans="1:5" x14ac:dyDescent="0.15">
      <c r="A15" s="5">
        <v>41648</v>
      </c>
      <c r="C15" t="s">
        <v>12</v>
      </c>
      <c r="D15" s="14">
        <v>5</v>
      </c>
    </row>
    <row r="16" spans="1:5" x14ac:dyDescent="0.15">
      <c r="A16" s="5">
        <v>41650</v>
      </c>
      <c r="C16" t="s">
        <v>15</v>
      </c>
      <c r="D16" s="14">
        <v>5</v>
      </c>
    </row>
    <row r="17" spans="1:5" x14ac:dyDescent="0.15">
      <c r="A17" s="5">
        <v>41650</v>
      </c>
      <c r="C17" t="s">
        <v>80</v>
      </c>
      <c r="D17" s="14">
        <v>18</v>
      </c>
      <c r="E17" s="8" t="s">
        <v>81</v>
      </c>
    </row>
    <row r="18" spans="1:5" x14ac:dyDescent="0.15">
      <c r="A18" s="5">
        <v>41651</v>
      </c>
      <c r="C18" t="s">
        <v>15</v>
      </c>
      <c r="D18" s="14">
        <v>31.4</v>
      </c>
    </row>
    <row r="19" spans="1:5" x14ac:dyDescent="0.15">
      <c r="A19" s="5">
        <v>41651</v>
      </c>
      <c r="C19" s="15" t="s">
        <v>17</v>
      </c>
      <c r="D19" s="14">
        <v>85.64</v>
      </c>
    </row>
    <row r="20" spans="1:5" x14ac:dyDescent="0.15">
      <c r="A20" s="5">
        <v>41652</v>
      </c>
      <c r="C20" t="s">
        <v>15</v>
      </c>
      <c r="D20" s="14">
        <v>3.75</v>
      </c>
    </row>
    <row r="21" spans="1:5" x14ac:dyDescent="0.15">
      <c r="A21" s="5">
        <v>41654</v>
      </c>
      <c r="C21" t="s">
        <v>46</v>
      </c>
      <c r="D21" s="14">
        <v>86.62</v>
      </c>
    </row>
    <row r="22" spans="1:5" x14ac:dyDescent="0.15">
      <c r="A22" s="5">
        <v>41654</v>
      </c>
      <c r="C22" t="s">
        <v>43</v>
      </c>
      <c r="D22" s="14">
        <v>70</v>
      </c>
    </row>
    <row r="23" spans="1:5" x14ac:dyDescent="0.15">
      <c r="A23" s="5">
        <v>41654</v>
      </c>
      <c r="C23" t="s">
        <v>15</v>
      </c>
      <c r="D23" s="14">
        <v>3.75</v>
      </c>
    </row>
    <row r="24" spans="1:5" x14ac:dyDescent="0.15">
      <c r="A24" s="5">
        <v>41654</v>
      </c>
      <c r="C24" t="s">
        <v>15</v>
      </c>
      <c r="D24" s="14">
        <v>13.88</v>
      </c>
    </row>
    <row r="25" spans="1:5" x14ac:dyDescent="0.15">
      <c r="A25" s="5">
        <v>41654</v>
      </c>
      <c r="C25" t="s">
        <v>15</v>
      </c>
      <c r="D25" s="14">
        <v>26.87</v>
      </c>
    </row>
    <row r="26" spans="1:5" x14ac:dyDescent="0.15">
      <c r="A26" s="5">
        <v>41654</v>
      </c>
      <c r="C26" t="s">
        <v>15</v>
      </c>
      <c r="D26" s="14">
        <v>29.4</v>
      </c>
    </row>
    <row r="27" spans="1:5" x14ac:dyDescent="0.15">
      <c r="A27" s="5">
        <v>41654</v>
      </c>
      <c r="C27" t="s">
        <v>17</v>
      </c>
      <c r="D27" s="14">
        <v>11.9</v>
      </c>
    </row>
    <row r="28" spans="1:5" x14ac:dyDescent="0.15">
      <c r="A28" s="5">
        <v>41654</v>
      </c>
      <c r="C28" s="15" t="s">
        <v>17</v>
      </c>
      <c r="D28" s="14">
        <v>85.64</v>
      </c>
    </row>
    <row r="29" spans="1:5" x14ac:dyDescent="0.15">
      <c r="A29" s="5">
        <v>41654</v>
      </c>
      <c r="C29" s="15" t="s">
        <v>17</v>
      </c>
      <c r="D29" s="14">
        <v>115.61</v>
      </c>
    </row>
    <row r="30" spans="1:5" x14ac:dyDescent="0.15">
      <c r="A30" s="5">
        <v>41654</v>
      </c>
      <c r="C30" s="15" t="s">
        <v>12</v>
      </c>
      <c r="D30" s="14">
        <v>11.62</v>
      </c>
    </row>
    <row r="31" spans="1:5" x14ac:dyDescent="0.15">
      <c r="A31" s="5">
        <v>41654</v>
      </c>
      <c r="C31" t="s">
        <v>12</v>
      </c>
      <c r="D31" s="14">
        <v>8.5</v>
      </c>
    </row>
    <row r="32" spans="1:5" x14ac:dyDescent="0.15">
      <c r="A32" s="5">
        <v>41654</v>
      </c>
      <c r="C32" t="s">
        <v>12</v>
      </c>
      <c r="D32" s="14">
        <v>8.33</v>
      </c>
      <c r="E32" s="8" t="s">
        <v>94</v>
      </c>
    </row>
    <row r="33" spans="1:5" x14ac:dyDescent="0.15">
      <c r="A33" s="5">
        <v>41654</v>
      </c>
      <c r="C33" t="s">
        <v>70</v>
      </c>
      <c r="D33" s="14">
        <v>14.92</v>
      </c>
    </row>
    <row r="34" spans="1:5" x14ac:dyDescent="0.15">
      <c r="A34" s="5">
        <v>41655</v>
      </c>
      <c r="C34" t="s">
        <v>17</v>
      </c>
      <c r="D34" s="14">
        <v>202.23</v>
      </c>
    </row>
    <row r="35" spans="1:5" x14ac:dyDescent="0.15">
      <c r="A35" s="5">
        <v>41655</v>
      </c>
      <c r="C35" t="s">
        <v>13</v>
      </c>
      <c r="D35" s="14">
        <v>17</v>
      </c>
    </row>
    <row r="36" spans="1:5" x14ac:dyDescent="0.15">
      <c r="A36" s="5">
        <v>41655</v>
      </c>
      <c r="C36" t="s">
        <v>12</v>
      </c>
      <c r="D36" s="14">
        <v>8.33</v>
      </c>
    </row>
    <row r="37" spans="1:5" x14ac:dyDescent="0.15">
      <c r="A37" s="5">
        <v>41656</v>
      </c>
      <c r="C37" s="15" t="s">
        <v>22</v>
      </c>
      <c r="D37" s="14">
        <v>7</v>
      </c>
    </row>
    <row r="38" spans="1:5" x14ac:dyDescent="0.15">
      <c r="A38" s="5">
        <v>41656</v>
      </c>
      <c r="C38" t="s">
        <v>15</v>
      </c>
      <c r="D38" s="14">
        <v>5.39</v>
      </c>
    </row>
    <row r="39" spans="1:5" x14ac:dyDescent="0.15">
      <c r="A39" s="5">
        <v>41656</v>
      </c>
      <c r="C39" t="s">
        <v>177</v>
      </c>
      <c r="D39" s="14">
        <v>100</v>
      </c>
      <c r="E39" s="16" t="s">
        <v>178</v>
      </c>
    </row>
    <row r="40" spans="1:5" x14ac:dyDescent="0.15">
      <c r="A40" s="5">
        <v>41657</v>
      </c>
      <c r="C40" t="s">
        <v>42</v>
      </c>
      <c r="D40" s="14">
        <v>279.32</v>
      </c>
      <c r="E40" s="8" t="s">
        <v>94</v>
      </c>
    </row>
    <row r="41" spans="1:5" x14ac:dyDescent="0.15">
      <c r="A41" s="5">
        <v>41657</v>
      </c>
      <c r="C41" t="s">
        <v>17</v>
      </c>
      <c r="D41" s="14">
        <v>60.67</v>
      </c>
      <c r="E41" s="8" t="s">
        <v>94</v>
      </c>
    </row>
    <row r="42" spans="1:5" x14ac:dyDescent="0.15">
      <c r="A42" s="5">
        <v>41658</v>
      </c>
      <c r="C42" t="s">
        <v>17</v>
      </c>
      <c r="D42" s="14">
        <v>19.23</v>
      </c>
    </row>
    <row r="43" spans="1:5" x14ac:dyDescent="0.15">
      <c r="A43" s="5">
        <v>41660</v>
      </c>
      <c r="C43" t="s">
        <v>32</v>
      </c>
      <c r="D43" s="14">
        <v>154.65</v>
      </c>
      <c r="E43" s="16" t="s">
        <v>94</v>
      </c>
    </row>
    <row r="44" spans="1:5" x14ac:dyDescent="0.15">
      <c r="A44" s="5">
        <v>41660</v>
      </c>
      <c r="C44" t="s">
        <v>15</v>
      </c>
      <c r="D44" s="14">
        <v>23.23</v>
      </c>
    </row>
    <row r="45" spans="1:5" x14ac:dyDescent="0.15">
      <c r="A45" s="5">
        <v>41660</v>
      </c>
      <c r="C45" t="s">
        <v>17</v>
      </c>
      <c r="D45" s="14">
        <v>61.61</v>
      </c>
    </row>
    <row r="46" spans="1:5" x14ac:dyDescent="0.15">
      <c r="A46" s="5">
        <v>41660</v>
      </c>
      <c r="C46" t="s">
        <v>38</v>
      </c>
      <c r="D46" s="14">
        <v>29.5</v>
      </c>
    </row>
    <row r="47" spans="1:5" x14ac:dyDescent="0.15">
      <c r="A47" s="5">
        <v>41660</v>
      </c>
      <c r="C47" t="s">
        <v>41</v>
      </c>
      <c r="D47" s="14">
        <v>92.98</v>
      </c>
      <c r="E47" s="8" t="s">
        <v>94</v>
      </c>
    </row>
    <row r="48" spans="1:5" x14ac:dyDescent="0.15">
      <c r="A48" s="5">
        <v>41663</v>
      </c>
      <c r="C48" t="s">
        <v>13</v>
      </c>
      <c r="D48" s="14">
        <v>15</v>
      </c>
      <c r="E48" s="8" t="s">
        <v>83</v>
      </c>
    </row>
    <row r="49" spans="1:5" x14ac:dyDescent="0.15">
      <c r="A49" s="5">
        <v>41664</v>
      </c>
      <c r="C49" s="15" t="s">
        <v>17</v>
      </c>
      <c r="D49" s="14">
        <v>28.06</v>
      </c>
    </row>
    <row r="50" spans="1:5" x14ac:dyDescent="0.15">
      <c r="A50" s="5">
        <v>41665</v>
      </c>
      <c r="C50" t="s">
        <v>44</v>
      </c>
      <c r="D50" s="14">
        <v>152.41999999999999</v>
      </c>
      <c r="E50" s="8" t="s">
        <v>84</v>
      </c>
    </row>
    <row r="51" spans="1:5" x14ac:dyDescent="0.15">
      <c r="A51" s="5">
        <v>41665</v>
      </c>
      <c r="C51" t="s">
        <v>57</v>
      </c>
      <c r="D51" s="14">
        <v>3</v>
      </c>
      <c r="E51" s="16" t="s">
        <v>58</v>
      </c>
    </row>
    <row r="52" spans="1:5" x14ac:dyDescent="0.15">
      <c r="A52" s="5">
        <v>41665</v>
      </c>
      <c r="C52" t="s">
        <v>15</v>
      </c>
      <c r="D52" s="14">
        <v>39.75</v>
      </c>
    </row>
    <row r="53" spans="1:5" x14ac:dyDescent="0.15">
      <c r="A53" s="5">
        <v>41665</v>
      </c>
      <c r="C53" t="s">
        <v>17</v>
      </c>
      <c r="D53" s="14">
        <v>7.25</v>
      </c>
    </row>
    <row r="54" spans="1:5" x14ac:dyDescent="0.15">
      <c r="A54" s="17">
        <v>41665</v>
      </c>
      <c r="C54" s="24" t="s">
        <v>13</v>
      </c>
      <c r="D54" s="14">
        <v>24</v>
      </c>
      <c r="E54" s="16" t="s">
        <v>245</v>
      </c>
    </row>
    <row r="55" spans="1:5" x14ac:dyDescent="0.15">
      <c r="A55" s="5">
        <v>41665</v>
      </c>
      <c r="C55" t="s">
        <v>12</v>
      </c>
      <c r="D55" s="14">
        <v>20.2</v>
      </c>
      <c r="E55" s="16" t="s">
        <v>94</v>
      </c>
    </row>
    <row r="56" spans="1:5" x14ac:dyDescent="0.15">
      <c r="A56" s="5">
        <v>41666</v>
      </c>
      <c r="B56" s="17"/>
      <c r="C56" s="15" t="s">
        <v>15</v>
      </c>
      <c r="D56" s="14">
        <v>8.0399999999999991</v>
      </c>
    </row>
    <row r="57" spans="1:5" x14ac:dyDescent="0.15">
      <c r="A57" s="5">
        <v>41666</v>
      </c>
      <c r="C57" t="s">
        <v>15</v>
      </c>
      <c r="D57" s="14">
        <v>41.93</v>
      </c>
    </row>
    <row r="58" spans="1:5" x14ac:dyDescent="0.15">
      <c r="A58" s="5">
        <v>41667</v>
      </c>
      <c r="C58" s="15" t="s">
        <v>17</v>
      </c>
      <c r="D58" s="14">
        <v>39.22</v>
      </c>
      <c r="E58" s="16" t="s">
        <v>141</v>
      </c>
    </row>
    <row r="59" spans="1:5" x14ac:dyDescent="0.15">
      <c r="A59" s="5">
        <v>41667</v>
      </c>
      <c r="C59" s="15" t="s">
        <v>13</v>
      </c>
      <c r="D59" s="14">
        <v>10</v>
      </c>
    </row>
    <row r="60" spans="1:5" x14ac:dyDescent="0.15">
      <c r="A60" s="5">
        <v>41669</v>
      </c>
      <c r="C60" s="15" t="s">
        <v>15</v>
      </c>
      <c r="D60" s="14">
        <v>2.25</v>
      </c>
    </row>
    <row r="61" spans="1:5" x14ac:dyDescent="0.15">
      <c r="A61" s="5">
        <v>41669</v>
      </c>
      <c r="C61" t="s">
        <v>15</v>
      </c>
      <c r="D61" s="14">
        <v>13.05</v>
      </c>
    </row>
    <row r="62" spans="1:5" x14ac:dyDescent="0.15">
      <c r="A62" s="5">
        <v>41670</v>
      </c>
      <c r="C62" t="s">
        <v>15</v>
      </c>
      <c r="D62" s="14">
        <v>3.95</v>
      </c>
    </row>
    <row r="63" spans="1:5" x14ac:dyDescent="0.15">
      <c r="A63" s="5">
        <v>41670</v>
      </c>
      <c r="C63" t="s">
        <v>15</v>
      </c>
      <c r="D63" s="14">
        <v>10.99</v>
      </c>
    </row>
    <row r="64" spans="1:5" x14ac:dyDescent="0.15">
      <c r="A64" s="5">
        <v>41670</v>
      </c>
      <c r="C64" t="s">
        <v>13</v>
      </c>
      <c r="D64" s="14">
        <v>15</v>
      </c>
    </row>
    <row r="65" spans="1:5" x14ac:dyDescent="0.15">
      <c r="A65" s="5">
        <v>41670</v>
      </c>
      <c r="C65" s="15" t="s">
        <v>13</v>
      </c>
      <c r="D65" s="14">
        <v>10</v>
      </c>
    </row>
    <row r="66" spans="1:5" x14ac:dyDescent="0.15">
      <c r="A66" s="5">
        <v>41670</v>
      </c>
      <c r="C66" t="s">
        <v>38</v>
      </c>
      <c r="D66" s="14">
        <v>132.6</v>
      </c>
      <c r="E66" s="8" t="s">
        <v>21</v>
      </c>
    </row>
    <row r="67" spans="1:5" x14ac:dyDescent="0.15">
      <c r="A67" s="5">
        <v>41671</v>
      </c>
      <c r="C67" s="15" t="s">
        <v>37</v>
      </c>
      <c r="D67" s="14">
        <v>25.25</v>
      </c>
      <c r="E67" s="8" t="s">
        <v>94</v>
      </c>
    </row>
    <row r="68" spans="1:5" x14ac:dyDescent="0.15">
      <c r="A68" s="5">
        <v>41671</v>
      </c>
      <c r="C68" t="s">
        <v>22</v>
      </c>
      <c r="D68" s="14">
        <v>12</v>
      </c>
    </row>
    <row r="69" spans="1:5" x14ac:dyDescent="0.15">
      <c r="A69" s="5">
        <v>41671</v>
      </c>
      <c r="C69" t="s">
        <v>15</v>
      </c>
      <c r="D69" s="14">
        <v>18.12</v>
      </c>
    </row>
    <row r="70" spans="1:5" x14ac:dyDescent="0.15">
      <c r="A70" s="5">
        <v>41672</v>
      </c>
      <c r="C70" s="14" t="s">
        <v>61</v>
      </c>
      <c r="D70" s="14">
        <v>5.08</v>
      </c>
      <c r="E70" s="16" t="s">
        <v>142</v>
      </c>
    </row>
    <row r="71" spans="1:5" x14ac:dyDescent="0.15">
      <c r="A71" s="5">
        <v>41672</v>
      </c>
      <c r="C71" s="15" t="s">
        <v>17</v>
      </c>
      <c r="D71" s="14">
        <v>135.79</v>
      </c>
      <c r="E71" s="16" t="s">
        <v>142</v>
      </c>
    </row>
    <row r="72" spans="1:5" x14ac:dyDescent="0.15">
      <c r="A72" s="5">
        <v>41672</v>
      </c>
      <c r="C72" t="s">
        <v>17</v>
      </c>
      <c r="D72" s="14">
        <v>131.12</v>
      </c>
    </row>
    <row r="73" spans="1:5" x14ac:dyDescent="0.15">
      <c r="A73" s="5">
        <v>41672</v>
      </c>
      <c r="C73" t="s">
        <v>24</v>
      </c>
      <c r="D73" s="14">
        <v>111.12</v>
      </c>
      <c r="E73" s="16" t="s">
        <v>136</v>
      </c>
    </row>
    <row r="74" spans="1:5" x14ac:dyDescent="0.15">
      <c r="A74" s="5">
        <v>41672</v>
      </c>
      <c r="C74" t="s">
        <v>12</v>
      </c>
      <c r="D74" s="14">
        <v>8.3000000000000007</v>
      </c>
    </row>
    <row r="75" spans="1:5" x14ac:dyDescent="0.15">
      <c r="A75" s="5">
        <v>41672</v>
      </c>
      <c r="C75" t="s">
        <v>70</v>
      </c>
      <c r="D75" s="14">
        <v>26.65</v>
      </c>
    </row>
    <row r="76" spans="1:5" x14ac:dyDescent="0.15">
      <c r="A76" s="5">
        <v>41673</v>
      </c>
      <c r="C76" s="15" t="s">
        <v>33</v>
      </c>
      <c r="D76" s="14">
        <v>3.26</v>
      </c>
    </row>
    <row r="77" spans="1:5" x14ac:dyDescent="0.15">
      <c r="A77" s="5">
        <v>41673</v>
      </c>
      <c r="C77" t="s">
        <v>80</v>
      </c>
      <c r="D77" s="14">
        <v>30.15</v>
      </c>
    </row>
    <row r="78" spans="1:5" x14ac:dyDescent="0.15">
      <c r="A78" s="5">
        <v>41675</v>
      </c>
      <c r="C78" t="s">
        <v>153</v>
      </c>
      <c r="D78" s="14">
        <v>1000</v>
      </c>
      <c r="E78" s="8" t="s">
        <v>151</v>
      </c>
    </row>
    <row r="79" spans="1:5" x14ac:dyDescent="0.15">
      <c r="A79" s="5">
        <v>41677</v>
      </c>
      <c r="C79" t="s">
        <v>46</v>
      </c>
      <c r="D79" s="14">
        <v>3.49</v>
      </c>
      <c r="E79" s="16" t="s">
        <v>140</v>
      </c>
    </row>
    <row r="80" spans="1:5" x14ac:dyDescent="0.15">
      <c r="A80" s="5">
        <v>41677</v>
      </c>
      <c r="C80" t="s">
        <v>32</v>
      </c>
      <c r="D80" s="14">
        <v>154.44999999999999</v>
      </c>
      <c r="E80" s="8" t="s">
        <v>151</v>
      </c>
    </row>
    <row r="81" spans="1:5" ht="26" x14ac:dyDescent="0.15">
      <c r="A81" s="5">
        <v>41677</v>
      </c>
      <c r="C81" s="15" t="s">
        <v>17</v>
      </c>
      <c r="D81" s="14">
        <v>59.58</v>
      </c>
      <c r="E81" s="16" t="s">
        <v>139</v>
      </c>
    </row>
    <row r="82" spans="1:5" x14ac:dyDescent="0.15">
      <c r="A82" s="5">
        <v>41677</v>
      </c>
      <c r="C82" t="s">
        <v>72</v>
      </c>
      <c r="D82" s="14">
        <v>25.96</v>
      </c>
      <c r="E82" s="16" t="s">
        <v>140</v>
      </c>
    </row>
    <row r="83" spans="1:5" x14ac:dyDescent="0.15">
      <c r="A83" s="5">
        <v>41678</v>
      </c>
      <c r="C83" t="s">
        <v>16</v>
      </c>
      <c r="D83" s="14">
        <v>26.38</v>
      </c>
      <c r="E83" s="16" t="s">
        <v>94</v>
      </c>
    </row>
    <row r="84" spans="1:5" x14ac:dyDescent="0.15">
      <c r="A84" s="5">
        <v>41679</v>
      </c>
      <c r="C84" t="s">
        <v>44</v>
      </c>
      <c r="D84" s="14">
        <v>181.82</v>
      </c>
      <c r="E84" s="8" t="s">
        <v>85</v>
      </c>
    </row>
    <row r="85" spans="1:5" x14ac:dyDescent="0.15">
      <c r="A85" s="5">
        <v>41679</v>
      </c>
      <c r="C85" t="s">
        <v>15</v>
      </c>
      <c r="D85" s="14">
        <v>2.4500000000000002</v>
      </c>
    </row>
    <row r="86" spans="1:5" x14ac:dyDescent="0.15">
      <c r="A86" s="5">
        <v>41679</v>
      </c>
      <c r="C86" t="s">
        <v>17</v>
      </c>
      <c r="D86" s="14">
        <v>19.23</v>
      </c>
    </row>
    <row r="87" spans="1:5" x14ac:dyDescent="0.15">
      <c r="A87" s="5">
        <v>41680</v>
      </c>
      <c r="C87" t="s">
        <v>15</v>
      </c>
      <c r="D87" s="14">
        <v>5.39</v>
      </c>
    </row>
    <row r="88" spans="1:5" x14ac:dyDescent="0.15">
      <c r="A88" s="5">
        <v>41680</v>
      </c>
      <c r="C88" s="15" t="s">
        <v>17</v>
      </c>
      <c r="D88" s="14">
        <v>8.4600000000000009</v>
      </c>
    </row>
    <row r="89" spans="1:5" x14ac:dyDescent="0.15">
      <c r="A89" s="5">
        <v>41680</v>
      </c>
      <c r="C89" t="s">
        <v>33</v>
      </c>
      <c r="D89" s="14">
        <v>77.52</v>
      </c>
    </row>
    <row r="90" spans="1:5" x14ac:dyDescent="0.15">
      <c r="A90" s="5">
        <v>41681</v>
      </c>
      <c r="C90" s="24" t="s">
        <v>57</v>
      </c>
      <c r="D90" s="14">
        <v>3</v>
      </c>
      <c r="E90" s="8" t="s">
        <v>35</v>
      </c>
    </row>
    <row r="91" spans="1:5" x14ac:dyDescent="0.15">
      <c r="A91" s="5">
        <v>41681</v>
      </c>
      <c r="C91" t="s">
        <v>57</v>
      </c>
      <c r="D91" s="14">
        <v>1.5</v>
      </c>
      <c r="E91" s="8" t="s">
        <v>35</v>
      </c>
    </row>
    <row r="92" spans="1:5" x14ac:dyDescent="0.15">
      <c r="A92" s="5">
        <v>41681</v>
      </c>
      <c r="C92" t="s">
        <v>14</v>
      </c>
      <c r="D92" s="14">
        <v>4.99</v>
      </c>
    </row>
    <row r="93" spans="1:5" x14ac:dyDescent="0.15">
      <c r="A93" s="5">
        <v>41681</v>
      </c>
      <c r="C93" t="s">
        <v>69</v>
      </c>
      <c r="D93" s="14">
        <v>9.98</v>
      </c>
      <c r="E93" s="16" t="s">
        <v>145</v>
      </c>
    </row>
    <row r="94" spans="1:5" x14ac:dyDescent="0.15">
      <c r="A94" s="5">
        <v>41681</v>
      </c>
      <c r="C94" t="s">
        <v>15</v>
      </c>
      <c r="D94" s="14">
        <v>5.39</v>
      </c>
    </row>
    <row r="95" spans="1:5" x14ac:dyDescent="0.15">
      <c r="A95" s="5">
        <v>41681</v>
      </c>
      <c r="C95" t="s">
        <v>15</v>
      </c>
      <c r="D95" s="14">
        <v>6.41</v>
      </c>
    </row>
    <row r="96" spans="1:5" x14ac:dyDescent="0.15">
      <c r="A96" s="5">
        <v>41681</v>
      </c>
      <c r="C96" t="s">
        <v>15</v>
      </c>
      <c r="D96" s="14">
        <v>17.29</v>
      </c>
    </row>
    <row r="97" spans="1:5" x14ac:dyDescent="0.15">
      <c r="A97" s="5">
        <v>41681</v>
      </c>
      <c r="C97" t="s">
        <v>15</v>
      </c>
      <c r="D97" s="14">
        <v>23.23</v>
      </c>
    </row>
    <row r="98" spans="1:5" x14ac:dyDescent="0.15">
      <c r="A98" s="5">
        <v>41681</v>
      </c>
      <c r="C98" t="s">
        <v>17</v>
      </c>
      <c r="D98" s="14">
        <f>48.38 - 9.98</f>
        <v>38.400000000000006</v>
      </c>
      <c r="E98" s="16" t="s">
        <v>144</v>
      </c>
    </row>
    <row r="99" spans="1:5" x14ac:dyDescent="0.15">
      <c r="A99" s="5">
        <v>41681</v>
      </c>
      <c r="C99" t="s">
        <v>17</v>
      </c>
      <c r="D99" s="14">
        <v>48.38</v>
      </c>
      <c r="E99" s="16" t="s">
        <v>146</v>
      </c>
    </row>
    <row r="100" spans="1:5" x14ac:dyDescent="0.15">
      <c r="A100" s="5">
        <v>41681</v>
      </c>
      <c r="C100" t="s">
        <v>17</v>
      </c>
      <c r="D100" s="14">
        <v>28.38</v>
      </c>
      <c r="E100" s="8" t="s">
        <v>147</v>
      </c>
    </row>
    <row r="101" spans="1:5" x14ac:dyDescent="0.15">
      <c r="A101" s="5">
        <v>41681</v>
      </c>
      <c r="C101" t="s">
        <v>33</v>
      </c>
      <c r="D101" s="14">
        <v>97.52</v>
      </c>
      <c r="E101" s="8" t="s">
        <v>34</v>
      </c>
    </row>
    <row r="102" spans="1:5" x14ac:dyDescent="0.15">
      <c r="A102" s="5">
        <v>41681</v>
      </c>
      <c r="C102" t="s">
        <v>13</v>
      </c>
      <c r="D102" s="14">
        <v>19.899999999999999</v>
      </c>
    </row>
    <row r="103" spans="1:5" x14ac:dyDescent="0.15">
      <c r="A103" s="5">
        <v>41681</v>
      </c>
      <c r="C103" s="15" t="s">
        <v>38</v>
      </c>
      <c r="D103" s="14">
        <v>10.5</v>
      </c>
      <c r="E103" s="8" t="s">
        <v>36</v>
      </c>
    </row>
    <row r="104" spans="1:5" x14ac:dyDescent="0.15">
      <c r="A104" s="5">
        <v>41681</v>
      </c>
      <c r="C104" t="s">
        <v>12</v>
      </c>
      <c r="D104" s="14">
        <v>9.9499999999999993</v>
      </c>
    </row>
    <row r="105" spans="1:5" x14ac:dyDescent="0.15">
      <c r="A105" s="5">
        <v>41681</v>
      </c>
      <c r="C105" t="s">
        <v>12</v>
      </c>
      <c r="D105" s="14">
        <v>14.75</v>
      </c>
    </row>
    <row r="106" spans="1:5" x14ac:dyDescent="0.15">
      <c r="A106" s="5">
        <v>41681</v>
      </c>
      <c r="C106" s="15" t="s">
        <v>70</v>
      </c>
      <c r="D106" s="14">
        <v>18.5</v>
      </c>
    </row>
    <row r="107" spans="1:5" x14ac:dyDescent="0.15">
      <c r="A107" s="5">
        <v>41682</v>
      </c>
      <c r="C107" s="15" t="s">
        <v>80</v>
      </c>
      <c r="D107" s="14">
        <v>19.059999999999999</v>
      </c>
    </row>
    <row r="108" spans="1:5" x14ac:dyDescent="0.15">
      <c r="A108" s="5">
        <v>41682</v>
      </c>
      <c r="C108" t="s">
        <v>12</v>
      </c>
      <c r="D108" s="14">
        <v>9.9600000000000009</v>
      </c>
    </row>
    <row r="109" spans="1:5" x14ac:dyDescent="0.15">
      <c r="A109" s="5">
        <v>41683</v>
      </c>
      <c r="C109" t="s">
        <v>46</v>
      </c>
      <c r="D109" s="14">
        <v>13.57</v>
      </c>
      <c r="E109" s="16" t="s">
        <v>135</v>
      </c>
    </row>
    <row r="110" spans="1:5" x14ac:dyDescent="0.15">
      <c r="A110" s="5">
        <v>41683</v>
      </c>
      <c r="C110" s="15" t="s">
        <v>17</v>
      </c>
      <c r="D110" s="14">
        <v>48.05</v>
      </c>
      <c r="E110" s="16" t="s">
        <v>135</v>
      </c>
    </row>
    <row r="111" spans="1:5" x14ac:dyDescent="0.15">
      <c r="A111" s="5">
        <v>41683</v>
      </c>
      <c r="C111" t="s">
        <v>13</v>
      </c>
      <c r="D111" s="14">
        <v>23</v>
      </c>
      <c r="E111" s="8" t="s">
        <v>67</v>
      </c>
    </row>
    <row r="112" spans="1:5" x14ac:dyDescent="0.15">
      <c r="A112" s="5">
        <v>41683</v>
      </c>
      <c r="C112" t="s">
        <v>45</v>
      </c>
      <c r="D112" s="14">
        <v>34.950000000000003</v>
      </c>
      <c r="E112" s="16" t="s">
        <v>135</v>
      </c>
    </row>
    <row r="113" spans="1:5" x14ac:dyDescent="0.15">
      <c r="A113" s="5">
        <v>41684</v>
      </c>
      <c r="C113" t="s">
        <v>22</v>
      </c>
      <c r="D113" s="14">
        <v>58.5</v>
      </c>
      <c r="E113" s="16" t="s">
        <v>309</v>
      </c>
    </row>
    <row r="114" spans="1:5" x14ac:dyDescent="0.15">
      <c r="A114" s="5">
        <v>41684</v>
      </c>
      <c r="C114" t="s">
        <v>15</v>
      </c>
      <c r="D114" s="14">
        <v>7.27</v>
      </c>
      <c r="E114" s="8" t="s">
        <v>19</v>
      </c>
    </row>
    <row r="115" spans="1:5" x14ac:dyDescent="0.15">
      <c r="A115" s="5">
        <v>41684</v>
      </c>
      <c r="C115" s="15" t="s">
        <v>12</v>
      </c>
      <c r="D115" s="14">
        <v>10.56</v>
      </c>
    </row>
    <row r="116" spans="1:5" x14ac:dyDescent="0.15">
      <c r="A116" s="5">
        <v>41684</v>
      </c>
      <c r="C116" t="s">
        <v>12</v>
      </c>
      <c r="D116" s="14">
        <v>10.56</v>
      </c>
    </row>
    <row r="117" spans="1:5" x14ac:dyDescent="0.15">
      <c r="A117" s="5">
        <v>41685</v>
      </c>
      <c r="C117" t="s">
        <v>15</v>
      </c>
      <c r="D117" s="14">
        <v>13.03</v>
      </c>
    </row>
    <row r="118" spans="1:5" x14ac:dyDescent="0.15">
      <c r="A118" s="5">
        <v>41685</v>
      </c>
      <c r="C118" s="15" t="s">
        <v>38</v>
      </c>
      <c r="D118" s="14">
        <v>13.95</v>
      </c>
      <c r="E118" s="8" t="s">
        <v>23</v>
      </c>
    </row>
    <row r="119" spans="1:5" x14ac:dyDescent="0.15">
      <c r="A119" s="5">
        <v>41685</v>
      </c>
      <c r="C119" t="s">
        <v>38</v>
      </c>
      <c r="D119" s="14">
        <v>13.95</v>
      </c>
      <c r="E119" s="8" t="s">
        <v>23</v>
      </c>
    </row>
    <row r="120" spans="1:5" x14ac:dyDescent="0.15">
      <c r="A120" s="5">
        <v>41687</v>
      </c>
      <c r="C120" t="s">
        <v>177</v>
      </c>
      <c r="D120" s="14">
        <v>100</v>
      </c>
      <c r="E120" s="16" t="s">
        <v>178</v>
      </c>
    </row>
    <row r="121" spans="1:5" x14ac:dyDescent="0.15">
      <c r="A121" s="5">
        <v>41687</v>
      </c>
      <c r="C121" t="s">
        <v>12</v>
      </c>
      <c r="D121" s="14">
        <v>23.16</v>
      </c>
      <c r="E121" s="16" t="s">
        <v>163</v>
      </c>
    </row>
    <row r="122" spans="1:5" x14ac:dyDescent="0.15">
      <c r="A122" s="5">
        <v>41689</v>
      </c>
      <c r="C122" t="s">
        <v>15</v>
      </c>
      <c r="D122" s="14">
        <v>7.27</v>
      </c>
    </row>
    <row r="123" spans="1:5" x14ac:dyDescent="0.15">
      <c r="A123" s="5">
        <v>41689</v>
      </c>
      <c r="C123" t="s">
        <v>80</v>
      </c>
      <c r="D123" s="14">
        <v>7.27</v>
      </c>
    </row>
    <row r="124" spans="1:5" x14ac:dyDescent="0.15">
      <c r="A124" s="5">
        <v>41689</v>
      </c>
      <c r="C124" t="s">
        <v>38</v>
      </c>
      <c r="D124" s="14">
        <v>35</v>
      </c>
      <c r="E124" s="8" t="s">
        <v>36</v>
      </c>
    </row>
    <row r="125" spans="1:5" x14ac:dyDescent="0.15">
      <c r="A125" s="5">
        <v>41689</v>
      </c>
      <c r="C125" t="s">
        <v>12</v>
      </c>
      <c r="D125" s="14">
        <v>15.35</v>
      </c>
    </row>
    <row r="126" spans="1:5" x14ac:dyDescent="0.15">
      <c r="A126" s="5">
        <v>41689</v>
      </c>
      <c r="C126" t="s">
        <v>12</v>
      </c>
      <c r="D126" s="14">
        <v>17.149999999999999</v>
      </c>
    </row>
    <row r="127" spans="1:5" x14ac:dyDescent="0.15">
      <c r="A127" s="5">
        <v>41690</v>
      </c>
      <c r="C127" s="15" t="s">
        <v>57</v>
      </c>
      <c r="D127" s="14">
        <v>35</v>
      </c>
      <c r="E127" s="8" t="s">
        <v>20</v>
      </c>
    </row>
    <row r="128" spans="1:5" x14ac:dyDescent="0.15">
      <c r="A128" s="5">
        <v>41690</v>
      </c>
      <c r="C128" t="s">
        <v>42</v>
      </c>
      <c r="D128" s="14">
        <v>312.98</v>
      </c>
      <c r="E128" s="8" t="s">
        <v>94</v>
      </c>
    </row>
    <row r="129" spans="1:5" x14ac:dyDescent="0.15">
      <c r="A129" s="5">
        <v>41691</v>
      </c>
      <c r="C129" t="s">
        <v>46</v>
      </c>
      <c r="D129" s="14">
        <v>17.95</v>
      </c>
      <c r="E129" s="16" t="s">
        <v>255</v>
      </c>
    </row>
    <row r="130" spans="1:5" x14ac:dyDescent="0.15">
      <c r="A130" s="5">
        <v>41691</v>
      </c>
      <c r="C130" s="15" t="s">
        <v>41</v>
      </c>
      <c r="D130" s="14">
        <v>92.98</v>
      </c>
      <c r="E130" s="8" t="s">
        <v>94</v>
      </c>
    </row>
    <row r="131" spans="1:5" x14ac:dyDescent="0.15">
      <c r="A131" s="5">
        <v>41692</v>
      </c>
      <c r="C131" t="s">
        <v>57</v>
      </c>
      <c r="D131" s="14">
        <v>9</v>
      </c>
      <c r="E131" s="8" t="s">
        <v>86</v>
      </c>
    </row>
    <row r="132" spans="1:5" x14ac:dyDescent="0.15">
      <c r="A132" s="5">
        <v>41692</v>
      </c>
      <c r="C132" t="s">
        <v>46</v>
      </c>
      <c r="D132" s="14">
        <v>60.6</v>
      </c>
      <c r="E132" s="8" t="s">
        <v>87</v>
      </c>
    </row>
    <row r="133" spans="1:5" x14ac:dyDescent="0.15">
      <c r="A133" s="5">
        <v>41692</v>
      </c>
      <c r="C133" t="s">
        <v>46</v>
      </c>
      <c r="D133" s="14">
        <v>12</v>
      </c>
      <c r="E133" s="8" t="s">
        <v>88</v>
      </c>
    </row>
    <row r="134" spans="1:5" x14ac:dyDescent="0.15">
      <c r="A134" s="5">
        <v>41693</v>
      </c>
      <c r="C134" t="s">
        <v>80</v>
      </c>
      <c r="D134" s="14">
        <v>13.07</v>
      </c>
      <c r="E134" s="8" t="s">
        <v>89</v>
      </c>
    </row>
    <row r="135" spans="1:5" x14ac:dyDescent="0.15">
      <c r="A135" s="5">
        <v>41695</v>
      </c>
      <c r="C135" t="s">
        <v>27</v>
      </c>
      <c r="D135" s="14">
        <v>26.94</v>
      </c>
      <c r="E135" s="8" t="s">
        <v>90</v>
      </c>
    </row>
    <row r="136" spans="1:5" x14ac:dyDescent="0.15">
      <c r="A136" s="5">
        <v>41695</v>
      </c>
      <c r="C136" t="s">
        <v>91</v>
      </c>
      <c r="D136" s="14">
        <v>706.73</v>
      </c>
      <c r="E136" s="8" t="s">
        <v>92</v>
      </c>
    </row>
    <row r="137" spans="1:5" x14ac:dyDescent="0.15">
      <c r="A137" s="5">
        <v>41696</v>
      </c>
      <c r="C137" t="s">
        <v>43</v>
      </c>
      <c r="D137" s="14">
        <v>100</v>
      </c>
    </row>
    <row r="138" spans="1:5" x14ac:dyDescent="0.15">
      <c r="A138" s="5">
        <v>41696</v>
      </c>
      <c r="C138" t="s">
        <v>12</v>
      </c>
      <c r="D138" s="14">
        <v>24.76</v>
      </c>
      <c r="E138" s="16" t="s">
        <v>164</v>
      </c>
    </row>
    <row r="139" spans="1:5" x14ac:dyDescent="0.15">
      <c r="A139" s="5">
        <v>41697</v>
      </c>
      <c r="C139" s="15" t="s">
        <v>17</v>
      </c>
      <c r="D139" s="14">
        <v>12.76</v>
      </c>
    </row>
    <row r="140" spans="1:5" x14ac:dyDescent="0.15">
      <c r="A140" s="5">
        <v>41697</v>
      </c>
      <c r="C140" s="3" t="s">
        <v>17</v>
      </c>
      <c r="D140" s="14">
        <v>170.12</v>
      </c>
      <c r="E140" s="16" t="s">
        <v>133</v>
      </c>
    </row>
    <row r="141" spans="1:5" x14ac:dyDescent="0.15">
      <c r="A141" s="5">
        <v>41698</v>
      </c>
      <c r="C141" t="s">
        <v>15</v>
      </c>
      <c r="D141" s="14">
        <v>6.23</v>
      </c>
    </row>
    <row r="142" spans="1:5" x14ac:dyDescent="0.15">
      <c r="A142" s="5">
        <v>41698</v>
      </c>
      <c r="C142" t="s">
        <v>17</v>
      </c>
      <c r="D142" s="14">
        <v>12.78</v>
      </c>
      <c r="E142" s="8" t="s">
        <v>93</v>
      </c>
    </row>
    <row r="143" spans="1:5" x14ac:dyDescent="0.15">
      <c r="A143" s="5">
        <v>41698</v>
      </c>
      <c r="C143" t="s">
        <v>38</v>
      </c>
      <c r="D143" s="14">
        <f>44.2*5</f>
        <v>221</v>
      </c>
      <c r="E143" s="8" t="s">
        <v>21</v>
      </c>
    </row>
    <row r="144" spans="1:5" x14ac:dyDescent="0.15">
      <c r="A144" s="5">
        <v>41698</v>
      </c>
      <c r="C144" t="s">
        <v>153</v>
      </c>
      <c r="D144" s="14">
        <v>1000</v>
      </c>
      <c r="E144" s="8" t="s">
        <v>147</v>
      </c>
    </row>
    <row r="145" spans="1:5" x14ac:dyDescent="0.15">
      <c r="A145" s="5">
        <v>41699</v>
      </c>
      <c r="C145" t="s">
        <v>37</v>
      </c>
      <c r="D145" s="14">
        <v>25.25</v>
      </c>
      <c r="E145" s="8" t="s">
        <v>94</v>
      </c>
    </row>
    <row r="146" spans="1:5" x14ac:dyDescent="0.15">
      <c r="A146" s="5">
        <v>41701</v>
      </c>
      <c r="C146" t="s">
        <v>12</v>
      </c>
      <c r="D146" s="14">
        <v>12.36</v>
      </c>
      <c r="E146" s="8" t="s">
        <v>149</v>
      </c>
    </row>
    <row r="147" spans="1:5" x14ac:dyDescent="0.15">
      <c r="A147" s="5">
        <v>41701</v>
      </c>
      <c r="C147" t="s">
        <v>12</v>
      </c>
      <c r="D147" s="14">
        <v>12.96</v>
      </c>
      <c r="E147" s="8" t="s">
        <v>151</v>
      </c>
    </row>
    <row r="148" spans="1:5" x14ac:dyDescent="0.15">
      <c r="A148" s="5">
        <v>41702</v>
      </c>
      <c r="C148" s="15" t="s">
        <v>57</v>
      </c>
      <c r="D148" s="14">
        <v>3</v>
      </c>
      <c r="E148" s="8" t="s">
        <v>95</v>
      </c>
    </row>
    <row r="149" spans="1:5" x14ac:dyDescent="0.15">
      <c r="A149" s="5">
        <v>41702</v>
      </c>
      <c r="C149" t="s">
        <v>57</v>
      </c>
      <c r="D149" s="14">
        <v>3</v>
      </c>
      <c r="E149" s="8" t="s">
        <v>96</v>
      </c>
    </row>
    <row r="150" spans="1:5" x14ac:dyDescent="0.15">
      <c r="A150" s="5">
        <v>41702</v>
      </c>
      <c r="C150" t="s">
        <v>46</v>
      </c>
      <c r="D150" s="14">
        <v>145.91</v>
      </c>
      <c r="E150" s="8" t="s">
        <v>47</v>
      </c>
    </row>
    <row r="151" spans="1:5" x14ac:dyDescent="0.15">
      <c r="A151" s="5">
        <v>41702</v>
      </c>
      <c r="C151" t="s">
        <v>46</v>
      </c>
      <c r="D151" s="14">
        <v>77.31</v>
      </c>
    </row>
    <row r="152" spans="1:5" x14ac:dyDescent="0.15">
      <c r="A152" s="5">
        <v>41702</v>
      </c>
      <c r="C152" s="15" t="s">
        <v>15</v>
      </c>
      <c r="D152" s="14">
        <v>18.91</v>
      </c>
    </row>
    <row r="153" spans="1:5" x14ac:dyDescent="0.15">
      <c r="A153" s="5">
        <v>41702</v>
      </c>
      <c r="C153" t="s">
        <v>15</v>
      </c>
      <c r="D153" s="14">
        <v>22.86</v>
      </c>
      <c r="E153" s="8" t="s">
        <v>97</v>
      </c>
    </row>
    <row r="154" spans="1:5" x14ac:dyDescent="0.15">
      <c r="A154" s="5">
        <v>41702</v>
      </c>
      <c r="C154" t="s">
        <v>15</v>
      </c>
      <c r="D154" s="14">
        <v>23.13</v>
      </c>
    </row>
    <row r="155" spans="1:5" x14ac:dyDescent="0.15">
      <c r="A155" s="5">
        <v>41702</v>
      </c>
      <c r="C155" t="s">
        <v>17</v>
      </c>
      <c r="D155" s="14">
        <v>79.19</v>
      </c>
    </row>
    <row r="156" spans="1:5" x14ac:dyDescent="0.15">
      <c r="A156" s="5">
        <v>41702</v>
      </c>
      <c r="C156" t="s">
        <v>17</v>
      </c>
      <c r="D156" s="14">
        <v>6.99</v>
      </c>
    </row>
    <row r="157" spans="1:5" x14ac:dyDescent="0.15">
      <c r="A157" s="5">
        <v>41702</v>
      </c>
      <c r="C157" t="s">
        <v>17</v>
      </c>
      <c r="D157" s="14">
        <v>26.99</v>
      </c>
      <c r="E157" s="16" t="s">
        <v>143</v>
      </c>
    </row>
    <row r="158" spans="1:5" x14ac:dyDescent="0.15">
      <c r="A158" s="5">
        <v>41702</v>
      </c>
      <c r="C158" t="s">
        <v>13</v>
      </c>
      <c r="D158" s="14">
        <v>25</v>
      </c>
      <c r="E158" s="8" t="s">
        <v>94</v>
      </c>
    </row>
    <row r="159" spans="1:5" x14ac:dyDescent="0.15">
      <c r="A159" s="5">
        <v>41702</v>
      </c>
      <c r="C159" s="15" t="s">
        <v>80</v>
      </c>
      <c r="D159" s="14">
        <v>26.13</v>
      </c>
      <c r="E159" s="8" t="s">
        <v>98</v>
      </c>
    </row>
    <row r="160" spans="1:5" x14ac:dyDescent="0.15">
      <c r="A160" s="5">
        <v>41702</v>
      </c>
      <c r="C160" s="15" t="s">
        <v>12</v>
      </c>
      <c r="D160" s="14">
        <v>7.56</v>
      </c>
      <c r="E160" s="8" t="s">
        <v>72</v>
      </c>
    </row>
    <row r="161" spans="1:5" x14ac:dyDescent="0.15">
      <c r="A161" s="5">
        <v>41702</v>
      </c>
      <c r="C161" t="s">
        <v>12</v>
      </c>
      <c r="D161" s="14">
        <v>11.16</v>
      </c>
      <c r="E161" s="8" t="s">
        <v>72</v>
      </c>
    </row>
    <row r="162" spans="1:5" x14ac:dyDescent="0.15">
      <c r="A162" s="5">
        <v>41703</v>
      </c>
      <c r="C162" t="s">
        <v>22</v>
      </c>
      <c r="D162" s="14">
        <v>102.5</v>
      </c>
    </row>
    <row r="163" spans="1:5" x14ac:dyDescent="0.15">
      <c r="A163" s="5">
        <v>41703</v>
      </c>
      <c r="C163" t="s">
        <v>22</v>
      </c>
      <c r="D163" s="14">
        <v>89</v>
      </c>
    </row>
    <row r="164" spans="1:5" x14ac:dyDescent="0.15">
      <c r="A164" s="5">
        <v>41704</v>
      </c>
      <c r="C164" s="15" t="s">
        <v>14</v>
      </c>
      <c r="D164" s="14">
        <v>4.99</v>
      </c>
      <c r="E164" s="8" t="s">
        <v>94</v>
      </c>
    </row>
    <row r="165" spans="1:5" x14ac:dyDescent="0.15">
      <c r="A165" s="5">
        <v>41705</v>
      </c>
      <c r="C165" s="15" t="s">
        <v>46</v>
      </c>
      <c r="D165" s="14">
        <v>100</v>
      </c>
    </row>
    <row r="166" spans="1:5" x14ac:dyDescent="0.15">
      <c r="A166" s="5">
        <v>41705</v>
      </c>
      <c r="C166" t="s">
        <v>15</v>
      </c>
      <c r="D166" s="14">
        <v>3.26</v>
      </c>
    </row>
    <row r="167" spans="1:5" x14ac:dyDescent="0.15">
      <c r="A167" s="5">
        <v>41706</v>
      </c>
      <c r="C167" t="s">
        <v>14</v>
      </c>
      <c r="D167" s="14">
        <v>4.99</v>
      </c>
    </row>
    <row r="168" spans="1:5" x14ac:dyDescent="0.15">
      <c r="A168" s="5">
        <v>41706</v>
      </c>
      <c r="C168" t="s">
        <v>160</v>
      </c>
      <c r="D168" s="14">
        <v>2252</v>
      </c>
      <c r="E168" s="16" t="s">
        <v>180</v>
      </c>
    </row>
    <row r="169" spans="1:5" x14ac:dyDescent="0.15">
      <c r="A169" s="5">
        <v>41706</v>
      </c>
      <c r="C169" t="s">
        <v>160</v>
      </c>
      <c r="D169" s="14">
        <v>2252</v>
      </c>
      <c r="E169" s="8" t="s">
        <v>147</v>
      </c>
    </row>
    <row r="170" spans="1:5" x14ac:dyDescent="0.15">
      <c r="A170" s="5">
        <v>41706</v>
      </c>
      <c r="C170" t="s">
        <v>15</v>
      </c>
      <c r="D170" s="14">
        <v>10.97</v>
      </c>
    </row>
    <row r="171" spans="1:5" x14ac:dyDescent="0.15">
      <c r="A171" s="5">
        <v>41706</v>
      </c>
      <c r="C171" t="s">
        <v>15</v>
      </c>
      <c r="D171" s="14">
        <v>10.97</v>
      </c>
    </row>
    <row r="172" spans="1:5" x14ac:dyDescent="0.15">
      <c r="A172" s="5">
        <v>41706</v>
      </c>
      <c r="C172" t="s">
        <v>15</v>
      </c>
      <c r="D172" s="14">
        <v>18.12</v>
      </c>
    </row>
    <row r="173" spans="1:5" x14ac:dyDescent="0.15">
      <c r="A173" s="5">
        <v>41706</v>
      </c>
      <c r="C173" t="s">
        <v>16</v>
      </c>
      <c r="D173" s="14">
        <v>26.38</v>
      </c>
      <c r="E173" s="16" t="s">
        <v>94</v>
      </c>
    </row>
    <row r="174" spans="1:5" x14ac:dyDescent="0.15">
      <c r="A174" s="5">
        <v>41706</v>
      </c>
      <c r="C174" t="s">
        <v>80</v>
      </c>
      <c r="D174" s="14">
        <v>110</v>
      </c>
      <c r="E174" s="16" t="s">
        <v>59</v>
      </c>
    </row>
    <row r="175" spans="1:5" x14ac:dyDescent="0.15">
      <c r="A175" s="5">
        <v>41706</v>
      </c>
      <c r="C175" t="s">
        <v>12</v>
      </c>
      <c r="D175" s="14">
        <v>6.95</v>
      </c>
    </row>
    <row r="176" spans="1:5" x14ac:dyDescent="0.15">
      <c r="A176" s="5">
        <v>41707</v>
      </c>
      <c r="C176" t="s">
        <v>15</v>
      </c>
      <c r="D176" s="14">
        <v>4.58</v>
      </c>
    </row>
    <row r="177" spans="1:6" x14ac:dyDescent="0.15">
      <c r="A177" s="5">
        <v>41707</v>
      </c>
      <c r="C177" t="s">
        <v>15</v>
      </c>
      <c r="D177" s="14">
        <v>6</v>
      </c>
    </row>
    <row r="178" spans="1:6" x14ac:dyDescent="0.15">
      <c r="A178" s="5">
        <v>41707</v>
      </c>
      <c r="C178" s="15" t="s">
        <v>17</v>
      </c>
      <c r="D178" s="14">
        <v>28.29</v>
      </c>
      <c r="F178" s="14"/>
    </row>
    <row r="179" spans="1:6" x14ac:dyDescent="0.15">
      <c r="A179" s="5">
        <v>41708</v>
      </c>
      <c r="C179" t="s">
        <v>61</v>
      </c>
      <c r="D179" s="14">
        <v>4.99</v>
      </c>
      <c r="E179" s="16" t="s">
        <v>137</v>
      </c>
    </row>
    <row r="180" spans="1:6" x14ac:dyDescent="0.15">
      <c r="A180" s="5">
        <v>41708</v>
      </c>
      <c r="C180" t="s">
        <v>17</v>
      </c>
      <c r="D180" s="14">
        <v>85.01</v>
      </c>
      <c r="E180" s="16" t="s">
        <v>138</v>
      </c>
    </row>
    <row r="181" spans="1:6" x14ac:dyDescent="0.15">
      <c r="A181" s="5">
        <v>41708</v>
      </c>
      <c r="C181" t="s">
        <v>33</v>
      </c>
      <c r="D181" s="14">
        <v>17.98</v>
      </c>
      <c r="E181" s="16" t="s">
        <v>137</v>
      </c>
    </row>
    <row r="182" spans="1:6" x14ac:dyDescent="0.15">
      <c r="A182" s="5">
        <v>41708</v>
      </c>
      <c r="C182" s="15" t="s">
        <v>27</v>
      </c>
      <c r="D182" s="14">
        <v>15.98</v>
      </c>
      <c r="E182" s="8" t="s">
        <v>29</v>
      </c>
    </row>
    <row r="183" spans="1:6" x14ac:dyDescent="0.15">
      <c r="A183" s="5">
        <v>41708</v>
      </c>
      <c r="C183" s="15" t="s">
        <v>24</v>
      </c>
      <c r="D183" s="14">
        <v>111.12</v>
      </c>
      <c r="E183" s="8" t="s">
        <v>25</v>
      </c>
    </row>
    <row r="184" spans="1:6" x14ac:dyDescent="0.15">
      <c r="A184" s="5">
        <v>41708</v>
      </c>
      <c r="C184" s="15" t="s">
        <v>12</v>
      </c>
      <c r="D184" s="14">
        <v>6.21</v>
      </c>
      <c r="E184" s="8" t="s">
        <v>159</v>
      </c>
    </row>
    <row r="185" spans="1:6" x14ac:dyDescent="0.15">
      <c r="A185" s="5">
        <v>41708</v>
      </c>
      <c r="C185" s="15" t="s">
        <v>12</v>
      </c>
      <c r="D185" s="14">
        <v>6.01</v>
      </c>
      <c r="E185" s="8" t="s">
        <v>159</v>
      </c>
    </row>
    <row r="186" spans="1:6" x14ac:dyDescent="0.15">
      <c r="A186" s="5">
        <v>41709</v>
      </c>
      <c r="C186" t="s">
        <v>15</v>
      </c>
      <c r="D186" s="14">
        <v>18.12</v>
      </c>
      <c r="E186" s="8" t="s">
        <v>67</v>
      </c>
    </row>
    <row r="187" spans="1:6" x14ac:dyDescent="0.15">
      <c r="A187" s="5">
        <v>41709</v>
      </c>
      <c r="B187" s="61"/>
      <c r="C187" s="15" t="s">
        <v>13</v>
      </c>
      <c r="D187" s="14">
        <v>30.5</v>
      </c>
      <c r="E187" s="16" t="s">
        <v>201</v>
      </c>
    </row>
    <row r="188" spans="1:6" x14ac:dyDescent="0.15">
      <c r="A188" s="5">
        <v>41709</v>
      </c>
      <c r="C188" s="15" t="s">
        <v>12</v>
      </c>
      <c r="D188" s="14">
        <v>10.56</v>
      </c>
      <c r="E188" s="16" t="s">
        <v>201</v>
      </c>
    </row>
    <row r="189" spans="1:6" x14ac:dyDescent="0.15">
      <c r="A189" s="5">
        <v>41711</v>
      </c>
      <c r="C189" t="s">
        <v>32</v>
      </c>
      <c r="D189" s="14">
        <v>169.46</v>
      </c>
      <c r="E189" s="16" t="s">
        <v>151</v>
      </c>
    </row>
    <row r="190" spans="1:6" x14ac:dyDescent="0.15">
      <c r="A190" s="5">
        <v>41713</v>
      </c>
      <c r="C190" t="s">
        <v>46</v>
      </c>
      <c r="D190" s="14">
        <v>92.7</v>
      </c>
      <c r="E190" s="16" t="s">
        <v>62</v>
      </c>
    </row>
    <row r="191" spans="1:6" x14ac:dyDescent="0.15">
      <c r="A191" s="5">
        <v>41714</v>
      </c>
      <c r="C191" t="s">
        <v>61</v>
      </c>
      <c r="D191" s="14">
        <v>22.76</v>
      </c>
      <c r="E191" s="16" t="s">
        <v>134</v>
      </c>
    </row>
    <row r="192" spans="1:6" x14ac:dyDescent="0.15">
      <c r="A192" s="5">
        <v>41714</v>
      </c>
      <c r="C192" t="s">
        <v>15</v>
      </c>
      <c r="D192" s="14">
        <v>3.95</v>
      </c>
      <c r="E192" s="16" t="s">
        <v>201</v>
      </c>
    </row>
    <row r="193" spans="1:5" x14ac:dyDescent="0.15">
      <c r="A193" s="5">
        <v>41714</v>
      </c>
      <c r="C193" s="15" t="s">
        <v>17</v>
      </c>
      <c r="D193" s="14">
        <v>110.56</v>
      </c>
      <c r="E193" s="16" t="s">
        <v>134</v>
      </c>
    </row>
    <row r="194" spans="1:5" x14ac:dyDescent="0.15">
      <c r="A194" s="17">
        <v>41715</v>
      </c>
      <c r="C194" s="15" t="s">
        <v>64</v>
      </c>
      <c r="D194" s="14">
        <v>3</v>
      </c>
      <c r="E194" s="16" t="s">
        <v>65</v>
      </c>
    </row>
    <row r="195" spans="1:5" x14ac:dyDescent="0.15">
      <c r="A195" s="5">
        <v>41715</v>
      </c>
      <c r="C195" s="15" t="s">
        <v>64</v>
      </c>
      <c r="D195" s="14">
        <v>2</v>
      </c>
      <c r="E195" s="16" t="s">
        <v>66</v>
      </c>
    </row>
    <row r="196" spans="1:5" x14ac:dyDescent="0.15">
      <c r="A196" s="5">
        <v>41715</v>
      </c>
      <c r="C196" s="15" t="s">
        <v>64</v>
      </c>
      <c r="D196" s="14">
        <v>2</v>
      </c>
      <c r="E196" s="8" t="s">
        <v>66</v>
      </c>
    </row>
    <row r="197" spans="1:5" x14ac:dyDescent="0.15">
      <c r="A197" s="5">
        <v>41715</v>
      </c>
      <c r="C197" t="s">
        <v>15</v>
      </c>
      <c r="D197" s="14">
        <v>3.26</v>
      </c>
      <c r="E197" s="8" t="s">
        <v>63</v>
      </c>
    </row>
    <row r="198" spans="1:5" x14ac:dyDescent="0.15">
      <c r="A198" s="5">
        <v>41715</v>
      </c>
      <c r="C198" t="s">
        <v>15</v>
      </c>
      <c r="D198" s="14">
        <v>10.78</v>
      </c>
      <c r="E198" s="16" t="s">
        <v>63</v>
      </c>
    </row>
    <row r="199" spans="1:5" x14ac:dyDescent="0.15">
      <c r="A199" s="5">
        <v>41715</v>
      </c>
      <c r="C199" t="s">
        <v>177</v>
      </c>
      <c r="D199" s="14">
        <v>100</v>
      </c>
      <c r="E199" s="16" t="s">
        <v>178</v>
      </c>
    </row>
    <row r="200" spans="1:5" x14ac:dyDescent="0.15">
      <c r="A200" s="5">
        <v>41715</v>
      </c>
      <c r="C200" t="s">
        <v>38</v>
      </c>
      <c r="D200" s="14">
        <v>3</v>
      </c>
      <c r="E200" s="16" t="s">
        <v>99</v>
      </c>
    </row>
    <row r="201" spans="1:5" x14ac:dyDescent="0.15">
      <c r="A201" s="5">
        <v>41715</v>
      </c>
      <c r="C201" t="s">
        <v>12</v>
      </c>
      <c r="D201" s="14">
        <v>9.36</v>
      </c>
      <c r="E201" s="16" t="s">
        <v>100</v>
      </c>
    </row>
    <row r="202" spans="1:5" x14ac:dyDescent="0.15">
      <c r="A202" s="5">
        <v>41717</v>
      </c>
      <c r="C202" s="15" t="s">
        <v>15</v>
      </c>
      <c r="D202" s="14">
        <v>2.71</v>
      </c>
      <c r="E202" s="8" t="s">
        <v>63</v>
      </c>
    </row>
    <row r="203" spans="1:5" x14ac:dyDescent="0.15">
      <c r="A203" s="5">
        <v>41719</v>
      </c>
      <c r="B203" s="17"/>
      <c r="C203" t="s">
        <v>15</v>
      </c>
      <c r="D203" s="14">
        <v>39.29</v>
      </c>
      <c r="E203" s="8" t="s">
        <v>147</v>
      </c>
    </row>
    <row r="204" spans="1:5" x14ac:dyDescent="0.15">
      <c r="A204" s="5">
        <v>41719</v>
      </c>
      <c r="C204" s="15" t="s">
        <v>42</v>
      </c>
      <c r="D204" s="14">
        <v>238.15</v>
      </c>
      <c r="E204" s="16" t="s">
        <v>94</v>
      </c>
    </row>
    <row r="205" spans="1:5" x14ac:dyDescent="0.15">
      <c r="A205" s="5">
        <v>41719</v>
      </c>
      <c r="C205" t="s">
        <v>33</v>
      </c>
      <c r="D205" s="14">
        <v>62.99</v>
      </c>
      <c r="E205" s="8" t="s">
        <v>101</v>
      </c>
    </row>
    <row r="206" spans="1:5" x14ac:dyDescent="0.15">
      <c r="A206" s="5">
        <v>41719</v>
      </c>
      <c r="C206" t="s">
        <v>41</v>
      </c>
      <c r="D206" s="14">
        <v>98.33</v>
      </c>
      <c r="E206" s="16" t="s">
        <v>94</v>
      </c>
    </row>
    <row r="207" spans="1:5" x14ac:dyDescent="0.15">
      <c r="A207" s="5">
        <v>41720</v>
      </c>
      <c r="C207" s="15" t="s">
        <v>57</v>
      </c>
      <c r="D207" s="14">
        <v>9</v>
      </c>
      <c r="E207" s="16" t="s">
        <v>250</v>
      </c>
    </row>
    <row r="208" spans="1:5" x14ac:dyDescent="0.15">
      <c r="A208" s="5">
        <v>41720</v>
      </c>
      <c r="C208" s="15" t="s">
        <v>46</v>
      </c>
      <c r="D208" s="14">
        <v>72.599999999999994</v>
      </c>
      <c r="E208" s="8" t="s">
        <v>102</v>
      </c>
    </row>
    <row r="209" spans="1:5" x14ac:dyDescent="0.15">
      <c r="A209" s="5">
        <v>41720</v>
      </c>
      <c r="C209" s="15" t="s">
        <v>46</v>
      </c>
      <c r="D209" s="14">
        <v>20</v>
      </c>
      <c r="E209" s="8" t="s">
        <v>103</v>
      </c>
    </row>
    <row r="210" spans="1:5" x14ac:dyDescent="0.15">
      <c r="A210" s="5">
        <v>41720</v>
      </c>
      <c r="C210" s="15" t="s">
        <v>46</v>
      </c>
      <c r="D210" s="14">
        <v>60.6</v>
      </c>
      <c r="E210" s="8" t="s">
        <v>108</v>
      </c>
    </row>
    <row r="211" spans="1:5" x14ac:dyDescent="0.15">
      <c r="A211" s="5">
        <v>41720</v>
      </c>
      <c r="C211" s="15" t="s">
        <v>46</v>
      </c>
      <c r="D211" s="14">
        <v>12</v>
      </c>
      <c r="E211" s="8" t="s">
        <v>109</v>
      </c>
    </row>
    <row r="212" spans="1:5" x14ac:dyDescent="0.15">
      <c r="A212" s="5">
        <v>41720</v>
      </c>
      <c r="C212" s="15" t="s">
        <v>17</v>
      </c>
      <c r="D212" s="14">
        <v>5.99</v>
      </c>
      <c r="E212" s="8" t="s">
        <v>104</v>
      </c>
    </row>
    <row r="213" spans="1:5" x14ac:dyDescent="0.15">
      <c r="A213" s="5">
        <v>41720</v>
      </c>
      <c r="C213" s="15" t="s">
        <v>17</v>
      </c>
      <c r="D213" s="14">
        <v>100</v>
      </c>
      <c r="E213" s="8" t="s">
        <v>105</v>
      </c>
    </row>
    <row r="214" spans="1:5" x14ac:dyDescent="0.15">
      <c r="A214" s="5">
        <v>41720</v>
      </c>
      <c r="C214" s="15" t="s">
        <v>13</v>
      </c>
      <c r="D214" s="14">
        <v>24</v>
      </c>
      <c r="E214" s="8" t="s">
        <v>106</v>
      </c>
    </row>
    <row r="215" spans="1:5" x14ac:dyDescent="0.15">
      <c r="A215" s="5">
        <v>41720</v>
      </c>
      <c r="C215" t="s">
        <v>38</v>
      </c>
      <c r="D215" s="14">
        <v>3</v>
      </c>
      <c r="E215" s="8" t="s">
        <v>107</v>
      </c>
    </row>
    <row r="216" spans="1:5" x14ac:dyDescent="0.15">
      <c r="A216" s="5">
        <v>41721</v>
      </c>
      <c r="C216" t="s">
        <v>46</v>
      </c>
      <c r="D216" s="14">
        <v>129.56</v>
      </c>
      <c r="E216" s="8" t="s">
        <v>110</v>
      </c>
    </row>
    <row r="217" spans="1:5" x14ac:dyDescent="0.15">
      <c r="A217" s="5">
        <v>41721</v>
      </c>
      <c r="C217" t="s">
        <v>46</v>
      </c>
      <c r="D217" s="14">
        <v>18.98</v>
      </c>
      <c r="E217" s="8" t="s">
        <v>111</v>
      </c>
    </row>
    <row r="218" spans="1:5" x14ac:dyDescent="0.15">
      <c r="A218" s="5">
        <v>41721</v>
      </c>
      <c r="C218" t="s">
        <v>46</v>
      </c>
      <c r="D218" s="14">
        <v>18.88</v>
      </c>
      <c r="E218" s="8" t="s">
        <v>117</v>
      </c>
    </row>
    <row r="219" spans="1:5" x14ac:dyDescent="0.15">
      <c r="A219" s="5">
        <v>41721</v>
      </c>
      <c r="C219" t="s">
        <v>69</v>
      </c>
      <c r="D219" s="14">
        <v>21.65</v>
      </c>
      <c r="E219" s="16" t="s">
        <v>132</v>
      </c>
    </row>
    <row r="220" spans="1:5" x14ac:dyDescent="0.15">
      <c r="A220" s="5">
        <v>41721</v>
      </c>
      <c r="C220" t="s">
        <v>15</v>
      </c>
      <c r="D220" s="14">
        <v>16.07</v>
      </c>
      <c r="E220" s="8" t="s">
        <v>112</v>
      </c>
    </row>
    <row r="221" spans="1:5" x14ac:dyDescent="0.15">
      <c r="A221" s="5">
        <v>41721</v>
      </c>
      <c r="C221" t="s">
        <v>17</v>
      </c>
      <c r="D221" s="14">
        <v>72.959999999999994</v>
      </c>
      <c r="E221" s="8" t="s">
        <v>113</v>
      </c>
    </row>
    <row r="222" spans="1:5" x14ac:dyDescent="0.15">
      <c r="A222" s="5">
        <v>41721</v>
      </c>
      <c r="C222" t="s">
        <v>33</v>
      </c>
      <c r="D222" s="14">
        <v>28.29</v>
      </c>
      <c r="E222" s="8" t="s">
        <v>114</v>
      </c>
    </row>
    <row r="223" spans="1:5" x14ac:dyDescent="0.15">
      <c r="A223" s="5">
        <v>41721</v>
      </c>
      <c r="C223" t="s">
        <v>33</v>
      </c>
      <c r="D223" s="14">
        <v>16.329999999999998</v>
      </c>
      <c r="E223" s="8" t="s">
        <v>119</v>
      </c>
    </row>
    <row r="224" spans="1:5" x14ac:dyDescent="0.15">
      <c r="A224" s="5">
        <v>41721</v>
      </c>
      <c r="C224" t="s">
        <v>13</v>
      </c>
      <c r="D224" s="14">
        <v>24</v>
      </c>
      <c r="E224" s="8" t="s">
        <v>118</v>
      </c>
    </row>
    <row r="225" spans="1:5" x14ac:dyDescent="0.15">
      <c r="A225" s="5">
        <v>41721</v>
      </c>
      <c r="C225" t="s">
        <v>45</v>
      </c>
      <c r="D225" s="14">
        <v>69.36</v>
      </c>
      <c r="E225" s="8" t="s">
        <v>115</v>
      </c>
    </row>
    <row r="226" spans="1:5" x14ac:dyDescent="0.15">
      <c r="A226" s="5">
        <v>41721</v>
      </c>
      <c r="C226" t="s">
        <v>38</v>
      </c>
      <c r="D226" s="14">
        <v>3</v>
      </c>
      <c r="E226" s="8" t="s">
        <v>107</v>
      </c>
    </row>
    <row r="227" spans="1:5" x14ac:dyDescent="0.15">
      <c r="A227" s="5">
        <v>41723</v>
      </c>
      <c r="C227" t="s">
        <v>69</v>
      </c>
      <c r="D227" s="14">
        <v>21.65</v>
      </c>
      <c r="E227" s="16" t="s">
        <v>147</v>
      </c>
    </row>
    <row r="228" spans="1:5" x14ac:dyDescent="0.15">
      <c r="A228" s="5">
        <v>41723</v>
      </c>
      <c r="C228" t="s">
        <v>72</v>
      </c>
      <c r="D228" s="14">
        <v>9.35</v>
      </c>
      <c r="E228" s="16" t="s">
        <v>147</v>
      </c>
    </row>
    <row r="229" spans="1:5" x14ac:dyDescent="0.15">
      <c r="A229" s="5">
        <v>41724</v>
      </c>
      <c r="C229" t="s">
        <v>57</v>
      </c>
      <c r="D229" s="14">
        <v>70</v>
      </c>
      <c r="E229" s="16" t="s">
        <v>214</v>
      </c>
    </row>
    <row r="230" spans="1:5" x14ac:dyDescent="0.15">
      <c r="A230" s="17">
        <v>41724</v>
      </c>
      <c r="C230" t="s">
        <v>57</v>
      </c>
      <c r="D230" s="14">
        <v>70</v>
      </c>
      <c r="E230" s="16" t="s">
        <v>248</v>
      </c>
    </row>
    <row r="231" spans="1:5" x14ac:dyDescent="0.15">
      <c r="A231" s="5">
        <v>41724</v>
      </c>
      <c r="C231" s="15" t="s">
        <v>46</v>
      </c>
      <c r="D231" s="14">
        <v>1.99</v>
      </c>
      <c r="E231" s="8" t="s">
        <v>121</v>
      </c>
    </row>
    <row r="232" spans="1:5" x14ac:dyDescent="0.15">
      <c r="A232" s="5">
        <v>41724</v>
      </c>
      <c r="C232" t="s">
        <v>61</v>
      </c>
      <c r="D232" s="14">
        <v>14.99</v>
      </c>
      <c r="E232" s="8" t="s">
        <v>120</v>
      </c>
    </row>
    <row r="233" spans="1:5" x14ac:dyDescent="0.15">
      <c r="A233" s="5">
        <v>41724</v>
      </c>
      <c r="C233" t="s">
        <v>69</v>
      </c>
      <c r="D233" s="23">
        <v>13.32</v>
      </c>
      <c r="E233" s="8" t="s">
        <v>116</v>
      </c>
    </row>
    <row r="234" spans="1:5" x14ac:dyDescent="0.15">
      <c r="A234" s="5">
        <v>41724</v>
      </c>
      <c r="C234" t="s">
        <v>17</v>
      </c>
      <c r="D234" s="14">
        <v>30.3</v>
      </c>
      <c r="E234" s="8" t="s">
        <v>122</v>
      </c>
    </row>
    <row r="235" spans="1:5" x14ac:dyDescent="0.15">
      <c r="A235" s="5">
        <v>41725</v>
      </c>
      <c r="C235" t="s">
        <v>57</v>
      </c>
      <c r="D235" s="14">
        <v>3</v>
      </c>
      <c r="E235" s="16" t="s">
        <v>167</v>
      </c>
    </row>
    <row r="236" spans="1:5" x14ac:dyDescent="0.15">
      <c r="A236" s="5">
        <v>41725</v>
      </c>
      <c r="C236" t="s">
        <v>168</v>
      </c>
      <c r="D236" s="14">
        <v>190.67</v>
      </c>
      <c r="E236" s="16" t="s">
        <v>147</v>
      </c>
    </row>
    <row r="237" spans="1:5" x14ac:dyDescent="0.15">
      <c r="A237" s="5">
        <v>41725</v>
      </c>
      <c r="C237" t="s">
        <v>17</v>
      </c>
      <c r="D237" s="14">
        <v>62.49</v>
      </c>
      <c r="E237" s="8" t="s">
        <v>147</v>
      </c>
    </row>
    <row r="238" spans="1:5" x14ac:dyDescent="0.15">
      <c r="A238" s="5">
        <v>41726</v>
      </c>
      <c r="C238" t="s">
        <v>57</v>
      </c>
      <c r="D238" s="14">
        <v>1.5</v>
      </c>
      <c r="E238" s="16" t="s">
        <v>167</v>
      </c>
    </row>
    <row r="239" spans="1:5" x14ac:dyDescent="0.15">
      <c r="A239" s="5">
        <v>41726</v>
      </c>
      <c r="C239" t="s">
        <v>38</v>
      </c>
      <c r="D239" s="14">
        <v>3</v>
      </c>
      <c r="E239" s="16" t="s">
        <v>186</v>
      </c>
    </row>
    <row r="240" spans="1:5" x14ac:dyDescent="0.15">
      <c r="A240" s="5">
        <v>41727</v>
      </c>
      <c r="C240" s="15" t="s">
        <v>160</v>
      </c>
      <c r="D240" s="14">
        <v>108.53</v>
      </c>
      <c r="E240" s="16" t="s">
        <v>237</v>
      </c>
    </row>
    <row r="241" spans="1:5" x14ac:dyDescent="0.15">
      <c r="A241" s="5">
        <v>41727</v>
      </c>
      <c r="C241" s="15" t="s">
        <v>15</v>
      </c>
      <c r="D241" s="14">
        <v>8.84</v>
      </c>
      <c r="E241" s="8" t="s">
        <v>94</v>
      </c>
    </row>
    <row r="242" spans="1:5" x14ac:dyDescent="0.15">
      <c r="A242" s="5">
        <v>41727</v>
      </c>
      <c r="C242" s="15" t="s">
        <v>158</v>
      </c>
      <c r="D242" s="14">
        <v>9.3000000000000007</v>
      </c>
      <c r="E242" s="8" t="s">
        <v>94</v>
      </c>
    </row>
    <row r="243" spans="1:5" x14ac:dyDescent="0.15">
      <c r="A243" s="5">
        <v>41727</v>
      </c>
      <c r="C243" t="s">
        <v>72</v>
      </c>
      <c r="D243" s="14">
        <v>39.14</v>
      </c>
      <c r="E243" s="16" t="s">
        <v>157</v>
      </c>
    </row>
    <row r="244" spans="1:5" x14ac:dyDescent="0.15">
      <c r="A244" s="5">
        <v>41729</v>
      </c>
      <c r="C244" s="15" t="s">
        <v>64</v>
      </c>
      <c r="D244" s="14">
        <v>3</v>
      </c>
      <c r="E244" s="16" t="s">
        <v>155</v>
      </c>
    </row>
    <row r="245" spans="1:5" x14ac:dyDescent="0.15">
      <c r="A245" s="5">
        <v>41729</v>
      </c>
      <c r="C245" s="15" t="s">
        <v>64</v>
      </c>
      <c r="D245" s="14">
        <v>2.5</v>
      </c>
      <c r="E245" s="16" t="s">
        <v>156</v>
      </c>
    </row>
    <row r="246" spans="1:5" x14ac:dyDescent="0.15">
      <c r="A246" s="5">
        <v>41729</v>
      </c>
      <c r="C246" s="15" t="s">
        <v>153</v>
      </c>
      <c r="D246" s="14">
        <v>1000</v>
      </c>
      <c r="E246" s="8" t="s">
        <v>151</v>
      </c>
    </row>
    <row r="247" spans="1:5" x14ac:dyDescent="0.15">
      <c r="A247" s="5">
        <v>41732</v>
      </c>
      <c r="C247" t="s">
        <v>22</v>
      </c>
      <c r="D247" s="14">
        <v>47.6</v>
      </c>
      <c r="E247" s="8" t="s">
        <v>94</v>
      </c>
    </row>
    <row r="248" spans="1:5" x14ac:dyDescent="0.15">
      <c r="A248" s="5">
        <v>41732</v>
      </c>
      <c r="C248" s="15" t="s">
        <v>69</v>
      </c>
      <c r="D248" s="14">
        <v>12.98</v>
      </c>
      <c r="E248" s="8" t="s">
        <v>193</v>
      </c>
    </row>
    <row r="249" spans="1:5" x14ac:dyDescent="0.15">
      <c r="A249" s="5">
        <v>41732</v>
      </c>
      <c r="C249" s="15" t="s">
        <v>15</v>
      </c>
      <c r="D249" s="14">
        <v>15.09</v>
      </c>
      <c r="E249" s="16" t="s">
        <v>188</v>
      </c>
    </row>
    <row r="250" spans="1:5" x14ac:dyDescent="0.15">
      <c r="A250" s="17">
        <v>41732</v>
      </c>
      <c r="C250" s="15" t="s">
        <v>17</v>
      </c>
      <c r="D250" s="14">
        <v>50.15</v>
      </c>
      <c r="E250" s="16" t="s">
        <v>193</v>
      </c>
    </row>
    <row r="251" spans="1:5" x14ac:dyDescent="0.15">
      <c r="A251" s="5">
        <v>41732</v>
      </c>
      <c r="C251" t="s">
        <v>72</v>
      </c>
      <c r="D251" s="14">
        <v>13.34</v>
      </c>
      <c r="E251" s="16" t="s">
        <v>189</v>
      </c>
    </row>
    <row r="252" spans="1:5" x14ac:dyDescent="0.15">
      <c r="A252" s="5">
        <v>41732</v>
      </c>
      <c r="C252" t="s">
        <v>38</v>
      </c>
      <c r="D252" s="14">
        <v>3</v>
      </c>
      <c r="E252" s="16" t="s">
        <v>63</v>
      </c>
    </row>
    <row r="253" spans="1:5" x14ac:dyDescent="0.15">
      <c r="A253" s="5">
        <v>41733</v>
      </c>
      <c r="C253" t="s">
        <v>15</v>
      </c>
      <c r="D253" s="14">
        <v>6</v>
      </c>
      <c r="E253" s="16" t="s">
        <v>63</v>
      </c>
    </row>
    <row r="254" spans="1:5" x14ac:dyDescent="0.15">
      <c r="A254" s="5">
        <v>41733</v>
      </c>
      <c r="C254" s="15" t="s">
        <v>17</v>
      </c>
      <c r="D254" s="14">
        <v>39.67</v>
      </c>
      <c r="E254" s="8" t="s">
        <v>94</v>
      </c>
    </row>
    <row r="255" spans="1:5" x14ac:dyDescent="0.15">
      <c r="A255" s="5">
        <v>41733</v>
      </c>
      <c r="C255" s="15" t="s">
        <v>24</v>
      </c>
      <c r="D255" s="14">
        <v>90</v>
      </c>
      <c r="E255" s="16" t="s">
        <v>94</v>
      </c>
    </row>
    <row r="256" spans="1:5" x14ac:dyDescent="0.15">
      <c r="A256" s="5">
        <v>41733</v>
      </c>
      <c r="C256" t="s">
        <v>38</v>
      </c>
      <c r="D256" s="14">
        <v>3</v>
      </c>
      <c r="E256" s="16" t="s">
        <v>190</v>
      </c>
    </row>
    <row r="257" spans="1:5" x14ac:dyDescent="0.15">
      <c r="A257" s="5">
        <v>41733</v>
      </c>
      <c r="C257" s="15" t="s">
        <v>38</v>
      </c>
      <c r="D257" s="14">
        <v>3</v>
      </c>
      <c r="E257" s="16" t="s">
        <v>190</v>
      </c>
    </row>
    <row r="258" spans="1:5" x14ac:dyDescent="0.15">
      <c r="A258" s="5">
        <v>41733</v>
      </c>
      <c r="C258" t="s">
        <v>70</v>
      </c>
      <c r="D258" s="14">
        <v>19.59</v>
      </c>
      <c r="E258" s="8" t="s">
        <v>94</v>
      </c>
    </row>
    <row r="259" spans="1:5" x14ac:dyDescent="0.15">
      <c r="A259" s="5">
        <v>41734</v>
      </c>
      <c r="C259" s="15" t="s">
        <v>15</v>
      </c>
      <c r="D259" s="14">
        <v>8.33</v>
      </c>
      <c r="E259" s="8" t="s">
        <v>94</v>
      </c>
    </row>
    <row r="260" spans="1:5" x14ac:dyDescent="0.15">
      <c r="A260" s="5">
        <v>41734</v>
      </c>
      <c r="C260" s="15" t="s">
        <v>42</v>
      </c>
      <c r="D260" s="14">
        <v>306.62</v>
      </c>
      <c r="E260" s="8" t="s">
        <v>94</v>
      </c>
    </row>
    <row r="261" spans="1:5" x14ac:dyDescent="0.15">
      <c r="A261" s="5">
        <v>41734</v>
      </c>
      <c r="C261" s="15" t="s">
        <v>27</v>
      </c>
      <c r="D261" s="14">
        <v>28</v>
      </c>
      <c r="E261" s="16" t="s">
        <v>200</v>
      </c>
    </row>
    <row r="262" spans="1:5" x14ac:dyDescent="0.15">
      <c r="A262" s="17">
        <v>41734</v>
      </c>
      <c r="C262" s="15" t="s">
        <v>38</v>
      </c>
      <c r="D262" s="14">
        <v>3</v>
      </c>
      <c r="E262" s="16" t="s">
        <v>186</v>
      </c>
    </row>
    <row r="263" spans="1:5" x14ac:dyDescent="0.15">
      <c r="A263" s="5">
        <v>41734</v>
      </c>
      <c r="C263" s="15" t="s">
        <v>38</v>
      </c>
      <c r="D263" s="14">
        <v>13.95</v>
      </c>
      <c r="E263" s="16" t="s">
        <v>191</v>
      </c>
    </row>
    <row r="264" spans="1:5" x14ac:dyDescent="0.15">
      <c r="A264" s="5">
        <v>41734</v>
      </c>
      <c r="C264" s="15" t="s">
        <v>38</v>
      </c>
      <c r="D264" s="14">
        <v>3</v>
      </c>
      <c r="E264" s="16" t="s">
        <v>190</v>
      </c>
    </row>
    <row r="265" spans="1:5" x14ac:dyDescent="0.15">
      <c r="A265" s="5">
        <v>41735</v>
      </c>
      <c r="C265" s="15" t="s">
        <v>46</v>
      </c>
      <c r="D265" s="14">
        <v>18.95</v>
      </c>
      <c r="E265" s="16" t="s">
        <v>194</v>
      </c>
    </row>
    <row r="266" spans="1:5" x14ac:dyDescent="0.15">
      <c r="A266" s="5">
        <v>41735</v>
      </c>
      <c r="C266" s="15" t="s">
        <v>61</v>
      </c>
      <c r="D266" s="14">
        <v>10.49</v>
      </c>
      <c r="E266" s="8" t="s">
        <v>192</v>
      </c>
    </row>
    <row r="267" spans="1:5" x14ac:dyDescent="0.15">
      <c r="A267" s="5">
        <v>41735</v>
      </c>
      <c r="C267" s="15" t="s">
        <v>15</v>
      </c>
      <c r="D267" s="14">
        <v>2</v>
      </c>
      <c r="E267" s="16" t="s">
        <v>196</v>
      </c>
    </row>
    <row r="268" spans="1:5" x14ac:dyDescent="0.15">
      <c r="A268" s="5">
        <v>41735</v>
      </c>
      <c r="B268" s="17"/>
      <c r="C268" s="15" t="s">
        <v>15</v>
      </c>
      <c r="D268" s="14">
        <v>10.46</v>
      </c>
      <c r="E268" s="8" t="s">
        <v>94</v>
      </c>
    </row>
    <row r="269" spans="1:5" x14ac:dyDescent="0.15">
      <c r="A269" s="5">
        <v>41735</v>
      </c>
      <c r="C269" s="15" t="s">
        <v>17</v>
      </c>
      <c r="D269" s="14">
        <v>58.7</v>
      </c>
      <c r="E269" s="16" t="s">
        <v>192</v>
      </c>
    </row>
    <row r="270" spans="1:5" x14ac:dyDescent="0.15">
      <c r="A270" s="5">
        <v>41735</v>
      </c>
      <c r="C270" s="15" t="s">
        <v>13</v>
      </c>
      <c r="D270" s="14">
        <v>16</v>
      </c>
      <c r="E270" s="16" t="s">
        <v>94</v>
      </c>
    </row>
    <row r="271" spans="1:5" x14ac:dyDescent="0.15">
      <c r="A271" s="5">
        <v>41735</v>
      </c>
      <c r="C271" s="15" t="s">
        <v>72</v>
      </c>
      <c r="D271" s="14">
        <v>4.99</v>
      </c>
      <c r="E271" s="16" t="s">
        <v>192</v>
      </c>
    </row>
    <row r="272" spans="1:5" x14ac:dyDescent="0.15">
      <c r="A272" s="5">
        <v>41736</v>
      </c>
      <c r="C272" t="s">
        <v>46</v>
      </c>
      <c r="D272" s="14">
        <v>34.6</v>
      </c>
      <c r="E272" s="8" t="s">
        <v>94</v>
      </c>
    </row>
    <row r="273" spans="1:5" x14ac:dyDescent="0.15">
      <c r="A273" s="17">
        <v>41736</v>
      </c>
      <c r="C273" s="15" t="s">
        <v>46</v>
      </c>
      <c r="D273" s="14">
        <v>10</v>
      </c>
      <c r="E273" s="16" t="s">
        <v>197</v>
      </c>
    </row>
    <row r="274" spans="1:5" x14ac:dyDescent="0.15">
      <c r="A274" s="5">
        <v>41736</v>
      </c>
      <c r="C274" s="15" t="s">
        <v>15</v>
      </c>
      <c r="D274" s="14">
        <v>3</v>
      </c>
      <c r="E274" s="16" t="s">
        <v>198</v>
      </c>
    </row>
    <row r="275" spans="1:5" x14ac:dyDescent="0.15">
      <c r="A275" s="5">
        <v>41736</v>
      </c>
      <c r="C275" s="15" t="s">
        <v>15</v>
      </c>
      <c r="D275" s="14">
        <v>3.26</v>
      </c>
      <c r="E275" s="16" t="s">
        <v>63</v>
      </c>
    </row>
    <row r="276" spans="1:5" x14ac:dyDescent="0.15">
      <c r="A276" s="5">
        <v>41736</v>
      </c>
      <c r="C276" s="15" t="s">
        <v>15</v>
      </c>
      <c r="D276" s="14">
        <v>3.26</v>
      </c>
      <c r="E276" s="8" t="s">
        <v>63</v>
      </c>
    </row>
    <row r="277" spans="1:5" x14ac:dyDescent="0.15">
      <c r="A277" s="5">
        <v>41736</v>
      </c>
      <c r="C277" s="15" t="s">
        <v>15</v>
      </c>
      <c r="D277" s="14">
        <v>20.54</v>
      </c>
      <c r="E277" s="8" t="s">
        <v>94</v>
      </c>
    </row>
    <row r="278" spans="1:5" x14ac:dyDescent="0.15">
      <c r="A278" s="5">
        <v>41736</v>
      </c>
      <c r="C278" s="15" t="s">
        <v>15</v>
      </c>
      <c r="D278" s="14">
        <v>38.67</v>
      </c>
      <c r="E278" s="8" t="s">
        <v>94</v>
      </c>
    </row>
    <row r="279" spans="1:5" x14ac:dyDescent="0.15">
      <c r="A279" s="5">
        <v>41736</v>
      </c>
      <c r="C279" t="s">
        <v>15</v>
      </c>
      <c r="D279" s="14">
        <v>41.67</v>
      </c>
      <c r="E279" s="16" t="s">
        <v>187</v>
      </c>
    </row>
    <row r="280" spans="1:5" x14ac:dyDescent="0.15">
      <c r="A280" s="17">
        <v>41736</v>
      </c>
      <c r="C280" s="15" t="s">
        <v>17</v>
      </c>
      <c r="D280" s="14">
        <v>22.88</v>
      </c>
      <c r="E280" s="8" t="s">
        <v>94</v>
      </c>
    </row>
    <row r="281" spans="1:5" x14ac:dyDescent="0.15">
      <c r="A281" s="5">
        <v>41736</v>
      </c>
      <c r="C281" s="15" t="s">
        <v>38</v>
      </c>
      <c r="D281" s="14">
        <v>3</v>
      </c>
      <c r="E281" s="16" t="s">
        <v>186</v>
      </c>
    </row>
    <row r="282" spans="1:5" x14ac:dyDescent="0.15">
      <c r="A282" s="17">
        <v>41737</v>
      </c>
      <c r="B282" s="17"/>
      <c r="C282" t="s">
        <v>16</v>
      </c>
      <c r="D282" s="14">
        <v>26.38</v>
      </c>
      <c r="E282" s="16" t="s">
        <v>211</v>
      </c>
    </row>
    <row r="283" spans="1:5" x14ac:dyDescent="0.15">
      <c r="A283" s="5">
        <v>41737</v>
      </c>
      <c r="C283" s="15" t="s">
        <v>24</v>
      </c>
      <c r="D283" s="14">
        <v>90</v>
      </c>
      <c r="E283" s="16" t="s">
        <v>213</v>
      </c>
    </row>
    <row r="284" spans="1:5" x14ac:dyDescent="0.15">
      <c r="A284" s="5">
        <v>41737</v>
      </c>
      <c r="C284" s="15" t="s">
        <v>12</v>
      </c>
      <c r="D284" s="14">
        <v>13.56</v>
      </c>
      <c r="E284" s="16" t="s">
        <v>212</v>
      </c>
    </row>
    <row r="285" spans="1:5" x14ac:dyDescent="0.15">
      <c r="A285" s="5">
        <v>41737</v>
      </c>
      <c r="C285" t="s">
        <v>400</v>
      </c>
      <c r="D285" s="14">
        <v>500</v>
      </c>
      <c r="E285" s="16" t="s">
        <v>310</v>
      </c>
    </row>
    <row r="286" spans="1:5" x14ac:dyDescent="0.15">
      <c r="A286" s="61">
        <v>41738</v>
      </c>
      <c r="C286" t="s">
        <v>15</v>
      </c>
      <c r="D286" s="14">
        <v>10.69</v>
      </c>
      <c r="E286" s="16" t="s">
        <v>94</v>
      </c>
    </row>
    <row r="287" spans="1:5" ht="26" x14ac:dyDescent="0.15">
      <c r="A287" s="5">
        <v>41738</v>
      </c>
      <c r="C287" t="s">
        <v>17</v>
      </c>
      <c r="D287" s="14">
        <v>51.98</v>
      </c>
      <c r="E287" s="16" t="s">
        <v>209</v>
      </c>
    </row>
    <row r="288" spans="1:5" x14ac:dyDescent="0.15">
      <c r="A288" s="5">
        <v>41738</v>
      </c>
      <c r="C288" s="15" t="s">
        <v>45</v>
      </c>
      <c r="D288" s="14">
        <v>11.98</v>
      </c>
      <c r="E288" s="16"/>
    </row>
    <row r="289" spans="1:5" x14ac:dyDescent="0.15">
      <c r="A289" s="5">
        <v>41738</v>
      </c>
      <c r="C289" t="s">
        <v>38</v>
      </c>
      <c r="D289" s="14">
        <v>20</v>
      </c>
      <c r="E289" s="16" t="s">
        <v>210</v>
      </c>
    </row>
    <row r="290" spans="1:5" x14ac:dyDescent="0.15">
      <c r="A290" s="5">
        <v>41739</v>
      </c>
      <c r="C290" s="15" t="s">
        <v>44</v>
      </c>
      <c r="D290" s="14">
        <v>380.67</v>
      </c>
      <c r="E290" s="16" t="s">
        <v>205</v>
      </c>
    </row>
    <row r="291" spans="1:5" x14ac:dyDescent="0.15">
      <c r="A291" s="17">
        <v>41739</v>
      </c>
      <c r="C291" s="15" t="s">
        <v>44</v>
      </c>
      <c r="D291" s="14">
        <v>43.4</v>
      </c>
      <c r="E291" s="16" t="s">
        <v>206</v>
      </c>
    </row>
    <row r="292" spans="1:5" x14ac:dyDescent="0.15">
      <c r="A292" s="5">
        <v>41739</v>
      </c>
      <c r="C292" t="s">
        <v>14</v>
      </c>
      <c r="D292" s="14">
        <v>1.61</v>
      </c>
      <c r="E292" s="16" t="s">
        <v>207</v>
      </c>
    </row>
    <row r="293" spans="1:5" x14ac:dyDescent="0.15">
      <c r="A293" s="5">
        <v>41739</v>
      </c>
      <c r="C293" s="15" t="s">
        <v>14</v>
      </c>
      <c r="D293" s="14">
        <v>4.99</v>
      </c>
      <c r="E293" s="16" t="s">
        <v>236</v>
      </c>
    </row>
    <row r="294" spans="1:5" x14ac:dyDescent="0.15">
      <c r="A294" s="5">
        <v>41739</v>
      </c>
      <c r="C294" s="15" t="s">
        <v>14</v>
      </c>
      <c r="D294" s="14">
        <v>1.66</v>
      </c>
      <c r="E294" s="16" t="s">
        <v>235</v>
      </c>
    </row>
    <row r="295" spans="1:5" x14ac:dyDescent="0.15">
      <c r="A295" s="5">
        <v>41739</v>
      </c>
      <c r="C295" t="s">
        <v>15</v>
      </c>
      <c r="D295" s="14">
        <v>12.72</v>
      </c>
      <c r="E295" s="16" t="s">
        <v>94</v>
      </c>
    </row>
    <row r="296" spans="1:5" x14ac:dyDescent="0.15">
      <c r="A296" s="5">
        <v>41739</v>
      </c>
      <c r="C296" t="s">
        <v>182</v>
      </c>
      <c r="D296" s="14">
        <v>14.15</v>
      </c>
      <c r="E296" s="16" t="s">
        <v>203</v>
      </c>
    </row>
    <row r="297" spans="1:5" x14ac:dyDescent="0.15">
      <c r="A297" s="5">
        <v>41739</v>
      </c>
      <c r="B297" s="17"/>
      <c r="C297" s="15" t="s">
        <v>24</v>
      </c>
      <c r="D297" s="14">
        <v>110.57</v>
      </c>
      <c r="E297" s="16" t="s">
        <v>82</v>
      </c>
    </row>
    <row r="298" spans="1:5" x14ac:dyDescent="0.15">
      <c r="A298" s="5">
        <v>41739</v>
      </c>
      <c r="C298" s="15" t="s">
        <v>38</v>
      </c>
      <c r="D298" s="14">
        <v>3</v>
      </c>
      <c r="E298" s="16" t="s">
        <v>186</v>
      </c>
    </row>
    <row r="299" spans="1:5" x14ac:dyDescent="0.15">
      <c r="A299" s="5">
        <v>41739</v>
      </c>
      <c r="B299" s="17"/>
      <c r="C299" s="15" t="s">
        <v>38</v>
      </c>
      <c r="D299" s="14">
        <v>35</v>
      </c>
      <c r="E299" s="16" t="s">
        <v>208</v>
      </c>
    </row>
    <row r="300" spans="1:5" x14ac:dyDescent="0.15">
      <c r="A300" s="17">
        <v>41739</v>
      </c>
      <c r="C300" t="s">
        <v>12</v>
      </c>
      <c r="D300" s="14">
        <v>15.35</v>
      </c>
      <c r="E300" s="16" t="s">
        <v>94</v>
      </c>
    </row>
    <row r="301" spans="1:5" x14ac:dyDescent="0.15">
      <c r="A301" s="5">
        <v>41740</v>
      </c>
      <c r="C301" t="s">
        <v>38</v>
      </c>
      <c r="D301" s="14">
        <v>3</v>
      </c>
      <c r="E301" s="16" t="s">
        <v>190</v>
      </c>
    </row>
    <row r="302" spans="1:5" x14ac:dyDescent="0.15">
      <c r="A302" s="5">
        <v>41741</v>
      </c>
      <c r="C302" s="15" t="s">
        <v>15</v>
      </c>
      <c r="D302" s="14">
        <v>11.97</v>
      </c>
      <c r="E302" s="16" t="s">
        <v>234</v>
      </c>
    </row>
    <row r="303" spans="1:5" x14ac:dyDescent="0.15">
      <c r="A303" s="5">
        <v>41741</v>
      </c>
      <c r="C303" s="15" t="s">
        <v>38</v>
      </c>
      <c r="D303" s="14">
        <v>3</v>
      </c>
      <c r="E303" s="62" t="s">
        <v>190</v>
      </c>
    </row>
    <row r="304" spans="1:5" x14ac:dyDescent="0.15">
      <c r="A304" s="5">
        <v>41743</v>
      </c>
      <c r="C304" s="15" t="s">
        <v>64</v>
      </c>
      <c r="D304" s="14">
        <v>2</v>
      </c>
      <c r="E304" s="16" t="s">
        <v>222</v>
      </c>
    </row>
    <row r="305" spans="1:5" x14ac:dyDescent="0.15">
      <c r="A305" s="5">
        <v>41743</v>
      </c>
      <c r="B305" s="17"/>
      <c r="C305" s="15" t="s">
        <v>15</v>
      </c>
      <c r="D305" s="14">
        <v>2.72</v>
      </c>
      <c r="E305" s="16" t="s">
        <v>221</v>
      </c>
    </row>
    <row r="306" spans="1:5" x14ac:dyDescent="0.15">
      <c r="A306" s="5">
        <v>41743</v>
      </c>
      <c r="C306" s="15" t="s">
        <v>15</v>
      </c>
      <c r="D306" s="14">
        <v>8.6</v>
      </c>
      <c r="E306" s="8" t="s">
        <v>94</v>
      </c>
    </row>
    <row r="307" spans="1:5" x14ac:dyDescent="0.15">
      <c r="A307" s="5">
        <v>41743</v>
      </c>
      <c r="B307" s="17"/>
      <c r="C307" s="15" t="s">
        <v>15</v>
      </c>
      <c r="D307" s="14">
        <v>24.69</v>
      </c>
      <c r="E307" s="16" t="s">
        <v>233</v>
      </c>
    </row>
    <row r="308" spans="1:5" x14ac:dyDescent="0.15">
      <c r="A308" s="5">
        <v>41743</v>
      </c>
      <c r="C308" s="15" t="s">
        <v>182</v>
      </c>
      <c r="D308" s="14">
        <v>21.78</v>
      </c>
      <c r="E308" s="16" t="s">
        <v>223</v>
      </c>
    </row>
    <row r="309" spans="1:5" x14ac:dyDescent="0.15">
      <c r="A309" s="5">
        <v>41743</v>
      </c>
      <c r="C309" s="15" t="s">
        <v>38</v>
      </c>
      <c r="D309" s="14">
        <v>3</v>
      </c>
      <c r="E309" s="16" t="s">
        <v>220</v>
      </c>
    </row>
    <row r="310" spans="1:5" x14ac:dyDescent="0.15">
      <c r="A310" s="5">
        <v>41744</v>
      </c>
      <c r="C310" s="15" t="s">
        <v>182</v>
      </c>
      <c r="D310" s="23">
        <v>20</v>
      </c>
      <c r="E310" s="16" t="s">
        <v>219</v>
      </c>
    </row>
    <row r="311" spans="1:5" x14ac:dyDescent="0.15">
      <c r="A311" s="17">
        <v>41744</v>
      </c>
      <c r="C311" t="s">
        <v>12</v>
      </c>
      <c r="D311" s="14">
        <v>14.75</v>
      </c>
      <c r="E311" s="8" t="s">
        <v>94</v>
      </c>
    </row>
    <row r="312" spans="1:5" x14ac:dyDescent="0.15">
      <c r="A312" s="5">
        <v>41745</v>
      </c>
      <c r="C312" s="15" t="s">
        <v>32</v>
      </c>
      <c r="D312" s="14">
        <v>169.46</v>
      </c>
      <c r="E312" s="8" t="s">
        <v>94</v>
      </c>
    </row>
    <row r="313" spans="1:5" ht="26" x14ac:dyDescent="0.15">
      <c r="A313" s="5">
        <v>41746</v>
      </c>
      <c r="B313" s="17"/>
      <c r="C313" s="15" t="s">
        <v>17</v>
      </c>
      <c r="D313" s="14">
        <v>109.29</v>
      </c>
      <c r="E313" s="16" t="s">
        <v>229</v>
      </c>
    </row>
    <row r="314" spans="1:5" x14ac:dyDescent="0.15">
      <c r="A314" s="5">
        <v>41746</v>
      </c>
      <c r="C314" t="s">
        <v>70</v>
      </c>
      <c r="D314" s="14">
        <v>27.71</v>
      </c>
      <c r="E314" s="8" t="s">
        <v>94</v>
      </c>
    </row>
    <row r="315" spans="1:5" x14ac:dyDescent="0.15">
      <c r="A315" s="5">
        <v>41746</v>
      </c>
      <c r="C315" s="15" t="s">
        <v>70</v>
      </c>
      <c r="D315" s="14">
        <v>27.71</v>
      </c>
      <c r="E315" s="8" t="s">
        <v>94</v>
      </c>
    </row>
    <row r="316" spans="1:5" x14ac:dyDescent="0.15">
      <c r="A316" s="5">
        <v>41747</v>
      </c>
      <c r="C316" s="15" t="s">
        <v>46</v>
      </c>
      <c r="D316" s="14">
        <v>6.99</v>
      </c>
      <c r="E316" s="16" t="s">
        <v>227</v>
      </c>
    </row>
    <row r="317" spans="1:5" x14ac:dyDescent="0.15">
      <c r="A317" s="17">
        <v>41747</v>
      </c>
      <c r="C317" s="15" t="s">
        <v>69</v>
      </c>
      <c r="D317" s="14">
        <v>27.91</v>
      </c>
      <c r="E317" s="8" t="s">
        <v>226</v>
      </c>
    </row>
    <row r="318" spans="1:5" x14ac:dyDescent="0.15">
      <c r="A318" s="5">
        <v>41747</v>
      </c>
      <c r="C318" s="15" t="s">
        <v>15</v>
      </c>
      <c r="D318" s="14">
        <v>21.38</v>
      </c>
      <c r="E318" s="16" t="s">
        <v>232</v>
      </c>
    </row>
    <row r="319" spans="1:5" x14ac:dyDescent="0.15">
      <c r="A319" s="5">
        <v>41747</v>
      </c>
      <c r="C319" s="15" t="s">
        <v>15</v>
      </c>
      <c r="D319" s="14">
        <v>25.38</v>
      </c>
      <c r="E319" s="8" t="s">
        <v>94</v>
      </c>
    </row>
    <row r="320" spans="1:5" x14ac:dyDescent="0.15">
      <c r="A320" s="5">
        <v>41747</v>
      </c>
      <c r="C320" s="15" t="s">
        <v>42</v>
      </c>
      <c r="D320" s="14">
        <v>302.62</v>
      </c>
      <c r="E320" s="8" t="s">
        <v>246</v>
      </c>
    </row>
    <row r="321" spans="1:5" x14ac:dyDescent="0.15">
      <c r="A321" s="5">
        <v>41747</v>
      </c>
      <c r="C321" s="15" t="s">
        <v>158</v>
      </c>
      <c r="D321" s="14">
        <v>37.049999999999997</v>
      </c>
      <c r="E321" s="16" t="s">
        <v>228</v>
      </c>
    </row>
    <row r="322" spans="1:5" x14ac:dyDescent="0.15">
      <c r="A322" s="5">
        <v>41747</v>
      </c>
      <c r="C322" s="15" t="s">
        <v>224</v>
      </c>
      <c r="D322" s="14">
        <v>24.4</v>
      </c>
      <c r="E322" s="16" t="s">
        <v>225</v>
      </c>
    </row>
    <row r="323" spans="1:5" x14ac:dyDescent="0.15">
      <c r="A323" s="5">
        <v>41748</v>
      </c>
      <c r="C323" t="s">
        <v>46</v>
      </c>
      <c r="D323" s="14">
        <v>45.8</v>
      </c>
      <c r="E323" s="16" t="s">
        <v>241</v>
      </c>
    </row>
    <row r="324" spans="1:5" x14ac:dyDescent="0.15">
      <c r="A324" s="5">
        <v>41748</v>
      </c>
      <c r="C324" s="15" t="s">
        <v>15</v>
      </c>
      <c r="D324" s="14">
        <v>4.03</v>
      </c>
      <c r="E324" s="8" t="s">
        <v>63</v>
      </c>
    </row>
    <row r="325" spans="1:5" x14ac:dyDescent="0.15">
      <c r="A325" s="5">
        <v>41748</v>
      </c>
      <c r="C325" t="s">
        <v>45</v>
      </c>
      <c r="D325" s="14">
        <v>35.79</v>
      </c>
      <c r="E325" s="16" t="s">
        <v>240</v>
      </c>
    </row>
    <row r="326" spans="1:5" x14ac:dyDescent="0.15">
      <c r="A326" s="5">
        <v>41748</v>
      </c>
      <c r="C326" s="15" t="s">
        <v>72</v>
      </c>
      <c r="D326" s="14">
        <v>12</v>
      </c>
      <c r="E326" s="16" t="s">
        <v>231</v>
      </c>
    </row>
    <row r="327" spans="1:5" x14ac:dyDescent="0.15">
      <c r="A327" s="5">
        <v>41748</v>
      </c>
      <c r="B327" s="17"/>
      <c r="C327" s="15" t="s">
        <v>38</v>
      </c>
      <c r="D327" s="14">
        <v>3</v>
      </c>
      <c r="E327" s="16" t="s">
        <v>190</v>
      </c>
    </row>
    <row r="328" spans="1:5" x14ac:dyDescent="0.15">
      <c r="A328" s="5">
        <v>41748</v>
      </c>
      <c r="C328" s="15" t="s">
        <v>41</v>
      </c>
      <c r="D328" s="14">
        <v>98.33</v>
      </c>
      <c r="E328" s="8" t="s">
        <v>94</v>
      </c>
    </row>
    <row r="329" spans="1:5" x14ac:dyDescent="0.15">
      <c r="A329" s="5">
        <v>41749</v>
      </c>
      <c r="C329" s="15" t="s">
        <v>15</v>
      </c>
      <c r="D329" s="14">
        <v>6.54</v>
      </c>
      <c r="E329" s="16" t="s">
        <v>230</v>
      </c>
    </row>
    <row r="330" spans="1:5" x14ac:dyDescent="0.15">
      <c r="A330" s="5">
        <v>41749</v>
      </c>
      <c r="C330" s="15" t="s">
        <v>38</v>
      </c>
      <c r="D330" s="14">
        <v>3</v>
      </c>
      <c r="E330" s="16" t="s">
        <v>190</v>
      </c>
    </row>
    <row r="331" spans="1:5" x14ac:dyDescent="0.15">
      <c r="A331" s="5">
        <v>41749</v>
      </c>
      <c r="C331" s="15" t="s">
        <v>12</v>
      </c>
      <c r="D331" s="23">
        <v>13.3</v>
      </c>
      <c r="E331" s="16" t="s">
        <v>230</v>
      </c>
    </row>
    <row r="332" spans="1:5" x14ac:dyDescent="0.15">
      <c r="A332" s="5">
        <v>41750</v>
      </c>
      <c r="C332" s="15" t="s">
        <v>38</v>
      </c>
      <c r="D332" s="14">
        <v>3</v>
      </c>
      <c r="E332" s="16" t="s">
        <v>190</v>
      </c>
    </row>
    <row r="333" spans="1:5" x14ac:dyDescent="0.15">
      <c r="A333" s="5">
        <v>41751</v>
      </c>
      <c r="C333" s="15" t="s">
        <v>57</v>
      </c>
      <c r="D333" s="14">
        <v>9</v>
      </c>
      <c r="E333" s="16" t="s">
        <v>249</v>
      </c>
    </row>
    <row r="334" spans="1:5" x14ac:dyDescent="0.15">
      <c r="A334" s="5">
        <v>41752</v>
      </c>
      <c r="C334" t="s">
        <v>57</v>
      </c>
      <c r="D334" s="14">
        <v>35</v>
      </c>
      <c r="E334" s="16" t="s">
        <v>248</v>
      </c>
    </row>
    <row r="335" spans="1:5" x14ac:dyDescent="0.15">
      <c r="A335" s="5">
        <v>41752</v>
      </c>
      <c r="C335" s="24" t="s">
        <v>61</v>
      </c>
      <c r="D335" s="14">
        <v>24.96</v>
      </c>
      <c r="E335" s="16" t="s">
        <v>247</v>
      </c>
    </row>
    <row r="336" spans="1:5" x14ac:dyDescent="0.15">
      <c r="A336" s="5">
        <v>41752</v>
      </c>
      <c r="B336" s="17"/>
      <c r="C336" s="24" t="s">
        <v>69</v>
      </c>
      <c r="D336" s="14">
        <v>17.98</v>
      </c>
      <c r="E336" s="8" t="s">
        <v>238</v>
      </c>
    </row>
    <row r="337" spans="1:5" x14ac:dyDescent="0.15">
      <c r="A337" s="5">
        <v>41752</v>
      </c>
      <c r="C337" s="24" t="s">
        <v>17</v>
      </c>
      <c r="D337" s="14">
        <v>42.94</v>
      </c>
      <c r="E337" s="16" t="s">
        <v>238</v>
      </c>
    </row>
    <row r="338" spans="1:5" x14ac:dyDescent="0.15">
      <c r="A338" s="5">
        <v>41753</v>
      </c>
      <c r="C338" s="24" t="s">
        <v>17</v>
      </c>
      <c r="D338" s="14">
        <v>14.46</v>
      </c>
      <c r="E338" s="16" t="s">
        <v>243</v>
      </c>
    </row>
    <row r="339" spans="1:5" x14ac:dyDescent="0.15">
      <c r="A339" s="17">
        <v>41753</v>
      </c>
      <c r="C339" t="s">
        <v>38</v>
      </c>
      <c r="D339" s="14">
        <v>3</v>
      </c>
      <c r="E339" s="16" t="s">
        <v>242</v>
      </c>
    </row>
    <row r="340" spans="1:5" ht="26" x14ac:dyDescent="0.15">
      <c r="A340" s="5">
        <v>41754</v>
      </c>
      <c r="C340" s="15" t="s">
        <v>69</v>
      </c>
      <c r="D340" s="14">
        <v>4.99</v>
      </c>
      <c r="E340" s="16" t="s">
        <v>244</v>
      </c>
    </row>
    <row r="341" spans="1:5" ht="26" x14ac:dyDescent="0.15">
      <c r="A341" s="5">
        <v>41754</v>
      </c>
      <c r="C341" t="s">
        <v>17</v>
      </c>
      <c r="D341" s="14">
        <v>14.39</v>
      </c>
      <c r="E341" s="16" t="s">
        <v>244</v>
      </c>
    </row>
    <row r="342" spans="1:5" x14ac:dyDescent="0.15">
      <c r="A342" s="5">
        <v>41754</v>
      </c>
      <c r="C342" t="s">
        <v>38</v>
      </c>
      <c r="D342" s="14"/>
    </row>
    <row r="343" spans="1:5" x14ac:dyDescent="0.15">
      <c r="A343" s="5">
        <v>41755</v>
      </c>
      <c r="C343" s="15" t="s">
        <v>15</v>
      </c>
      <c r="D343" s="14">
        <v>9.0399999999999991</v>
      </c>
      <c r="E343" s="16" t="s">
        <v>258</v>
      </c>
    </row>
    <row r="344" spans="1:5" x14ac:dyDescent="0.15">
      <c r="A344" s="5">
        <v>41755</v>
      </c>
      <c r="C344" s="15" t="s">
        <v>17</v>
      </c>
      <c r="D344" s="14">
        <v>4.1900000000000004</v>
      </c>
      <c r="E344" s="16" t="s">
        <v>257</v>
      </c>
    </row>
    <row r="345" spans="1:5" x14ac:dyDescent="0.15">
      <c r="A345" s="5">
        <v>41755</v>
      </c>
      <c r="C345" s="15" t="s">
        <v>13</v>
      </c>
      <c r="D345" s="14">
        <v>30.28</v>
      </c>
      <c r="E345" s="16" t="s">
        <v>259</v>
      </c>
    </row>
    <row r="346" spans="1:5" x14ac:dyDescent="0.15">
      <c r="A346" s="5">
        <v>41755</v>
      </c>
      <c r="C346" s="15" t="s">
        <v>38</v>
      </c>
      <c r="D346" s="14">
        <v>13.95</v>
      </c>
      <c r="E346" s="8" t="s">
        <v>256</v>
      </c>
    </row>
    <row r="347" spans="1:5" x14ac:dyDescent="0.15">
      <c r="A347" s="5">
        <v>41756</v>
      </c>
      <c r="C347" s="15" t="s">
        <v>37</v>
      </c>
      <c r="D347" s="16">
        <v>25.25</v>
      </c>
      <c r="E347" s="16" t="s">
        <v>239</v>
      </c>
    </row>
    <row r="348" spans="1:5" x14ac:dyDescent="0.15">
      <c r="A348" s="5">
        <v>41756</v>
      </c>
      <c r="C348" s="15" t="s">
        <v>15</v>
      </c>
      <c r="D348" s="14">
        <v>9.0399999999999991</v>
      </c>
      <c r="E348" s="16" t="s">
        <v>258</v>
      </c>
    </row>
    <row r="349" spans="1:5" x14ac:dyDescent="0.15">
      <c r="A349" s="5">
        <v>41756</v>
      </c>
      <c r="C349" s="15" t="s">
        <v>168</v>
      </c>
      <c r="D349" s="14">
        <v>108.66</v>
      </c>
      <c r="E349" s="16" t="s">
        <v>260</v>
      </c>
    </row>
    <row r="350" spans="1:5" x14ac:dyDescent="0.15">
      <c r="A350" s="5">
        <v>41758</v>
      </c>
      <c r="C350" s="15" t="s">
        <v>38</v>
      </c>
      <c r="D350" s="14">
        <v>3</v>
      </c>
      <c r="E350" s="16" t="s">
        <v>261</v>
      </c>
    </row>
    <row r="351" spans="1:5" x14ac:dyDescent="0.15">
      <c r="A351" s="5">
        <v>41759</v>
      </c>
      <c r="C351" s="15" t="s">
        <v>32</v>
      </c>
      <c r="D351" s="14">
        <v>169.39</v>
      </c>
      <c r="E351" s="8" t="s">
        <v>94</v>
      </c>
    </row>
    <row r="352" spans="1:5" x14ac:dyDescent="0.15">
      <c r="A352" s="5">
        <v>41759</v>
      </c>
      <c r="C352" s="15" t="s">
        <v>15</v>
      </c>
      <c r="D352" s="14">
        <v>26.34</v>
      </c>
      <c r="E352" s="16" t="s">
        <v>252</v>
      </c>
    </row>
    <row r="353" spans="1:5" x14ac:dyDescent="0.15">
      <c r="A353" s="5">
        <v>41759</v>
      </c>
      <c r="C353" s="15" t="s">
        <v>168</v>
      </c>
      <c r="D353" s="14">
        <v>2.06</v>
      </c>
      <c r="E353" s="16" t="s">
        <v>262</v>
      </c>
    </row>
    <row r="354" spans="1:5" x14ac:dyDescent="0.15">
      <c r="A354" s="17">
        <v>41759</v>
      </c>
      <c r="C354" s="15" t="s">
        <v>17</v>
      </c>
      <c r="D354" s="14">
        <v>6.49</v>
      </c>
      <c r="E354" s="8" t="s">
        <v>63</v>
      </c>
    </row>
    <row r="355" spans="1:5" x14ac:dyDescent="0.15">
      <c r="A355" s="5">
        <v>41759</v>
      </c>
      <c r="C355" s="15" t="s">
        <v>153</v>
      </c>
      <c r="D355" s="14">
        <v>1000</v>
      </c>
      <c r="E355" s="8" t="s">
        <v>151</v>
      </c>
    </row>
    <row r="356" spans="1:5" x14ac:dyDescent="0.15">
      <c r="A356" s="5">
        <v>41774</v>
      </c>
      <c r="C356" s="15" t="s">
        <v>27</v>
      </c>
      <c r="D356" s="14">
        <v>5.44</v>
      </c>
      <c r="E356" s="16" t="s">
        <v>311</v>
      </c>
    </row>
    <row r="357" spans="1:5" x14ac:dyDescent="0.15">
      <c r="A357" s="5">
        <v>41775</v>
      </c>
      <c r="B357" s="17"/>
      <c r="C357" s="15" t="s">
        <v>27</v>
      </c>
      <c r="D357" s="14">
        <v>8.41</v>
      </c>
      <c r="E357" s="16" t="s">
        <v>312</v>
      </c>
    </row>
    <row r="358" spans="1:5" x14ac:dyDescent="0.15">
      <c r="A358" s="5">
        <v>41775</v>
      </c>
      <c r="C358" s="15" t="s">
        <v>27</v>
      </c>
      <c r="D358" s="14">
        <v>2</v>
      </c>
      <c r="E358" s="16" t="s">
        <v>313</v>
      </c>
    </row>
    <row r="359" spans="1:5" x14ac:dyDescent="0.15">
      <c r="A359" s="5">
        <v>41776</v>
      </c>
      <c r="C359" s="15" t="s">
        <v>45</v>
      </c>
      <c r="D359" s="14">
        <v>11.43</v>
      </c>
      <c r="E359" s="16" t="s">
        <v>314</v>
      </c>
    </row>
    <row r="360" spans="1:5" ht="26" x14ac:dyDescent="0.15">
      <c r="A360" s="5">
        <v>41776</v>
      </c>
      <c r="C360" s="15" t="s">
        <v>12</v>
      </c>
      <c r="D360" s="14">
        <v>5</v>
      </c>
      <c r="E360" s="16" t="s">
        <v>315</v>
      </c>
    </row>
    <row r="361" spans="1:5" ht="26" x14ac:dyDescent="0.15">
      <c r="A361" s="5">
        <v>41776</v>
      </c>
      <c r="C361" s="15" t="s">
        <v>12</v>
      </c>
      <c r="D361" s="14">
        <v>2</v>
      </c>
      <c r="E361" s="16" t="s">
        <v>316</v>
      </c>
    </row>
    <row r="362" spans="1:5" x14ac:dyDescent="0.15">
      <c r="A362" s="5">
        <v>41776</v>
      </c>
      <c r="C362" s="15" t="s">
        <v>27</v>
      </c>
      <c r="D362" s="14">
        <v>14.74</v>
      </c>
      <c r="E362" s="16" t="s">
        <v>317</v>
      </c>
    </row>
    <row r="363" spans="1:5" x14ac:dyDescent="0.15">
      <c r="A363" s="5">
        <v>41778</v>
      </c>
      <c r="C363" s="15" t="s">
        <v>27</v>
      </c>
      <c r="D363" s="14">
        <v>25.41</v>
      </c>
      <c r="E363" s="16" t="s">
        <v>318</v>
      </c>
    </row>
    <row r="364" spans="1:5" x14ac:dyDescent="0.15">
      <c r="A364" s="5">
        <v>41779</v>
      </c>
      <c r="C364" s="15" t="s">
        <v>69</v>
      </c>
      <c r="D364" s="14">
        <v>11.99</v>
      </c>
      <c r="E364" s="16" t="s">
        <v>319</v>
      </c>
    </row>
    <row r="365" spans="1:5" x14ac:dyDescent="0.15">
      <c r="A365" s="5">
        <v>41779</v>
      </c>
      <c r="C365" s="15" t="s">
        <v>15</v>
      </c>
      <c r="D365" s="14">
        <v>12.26</v>
      </c>
      <c r="E365" s="16" t="s">
        <v>319</v>
      </c>
    </row>
    <row r="366" spans="1:5" x14ac:dyDescent="0.15">
      <c r="A366" s="5">
        <v>41779</v>
      </c>
      <c r="C366" t="s">
        <v>33</v>
      </c>
      <c r="D366" s="14">
        <v>6.99</v>
      </c>
      <c r="E366" s="16" t="s">
        <v>320</v>
      </c>
    </row>
    <row r="367" spans="1:5" x14ac:dyDescent="0.15">
      <c r="A367" s="5">
        <v>41779</v>
      </c>
      <c r="C367" t="s">
        <v>12</v>
      </c>
      <c r="D367" s="14">
        <v>27.32</v>
      </c>
      <c r="E367" s="16" t="s">
        <v>321</v>
      </c>
    </row>
    <row r="368" spans="1:5" ht="26" x14ac:dyDescent="0.15">
      <c r="A368" s="5">
        <v>41779</v>
      </c>
      <c r="C368" s="15" t="s">
        <v>12</v>
      </c>
      <c r="D368" s="14">
        <v>5</v>
      </c>
      <c r="E368" s="16" t="s">
        <v>316</v>
      </c>
    </row>
    <row r="369" spans="1:5" x14ac:dyDescent="0.15">
      <c r="A369" s="5">
        <v>41779</v>
      </c>
      <c r="C369" s="15" t="s">
        <v>42</v>
      </c>
      <c r="D369" s="14">
        <v>195.4</v>
      </c>
      <c r="E369" s="16" t="s">
        <v>322</v>
      </c>
    </row>
    <row r="370" spans="1:5" x14ac:dyDescent="0.15">
      <c r="A370" s="5">
        <v>41779</v>
      </c>
      <c r="C370" s="15" t="s">
        <v>27</v>
      </c>
      <c r="D370" s="14">
        <v>11.43</v>
      </c>
      <c r="E370" s="16" t="s">
        <v>323</v>
      </c>
    </row>
    <row r="371" spans="1:5" x14ac:dyDescent="0.15">
      <c r="A371" s="17">
        <v>41780</v>
      </c>
      <c r="C371" t="s">
        <v>38</v>
      </c>
      <c r="D371" s="14">
        <v>3</v>
      </c>
      <c r="E371" s="8" t="s">
        <v>63</v>
      </c>
    </row>
    <row r="372" spans="1:5" ht="26" x14ac:dyDescent="0.15">
      <c r="A372" s="5">
        <v>41780</v>
      </c>
      <c r="B372" s="17"/>
      <c r="C372" t="s">
        <v>27</v>
      </c>
      <c r="D372" s="14">
        <v>6</v>
      </c>
      <c r="E372" s="16" t="s">
        <v>324</v>
      </c>
    </row>
    <row r="373" spans="1:5" x14ac:dyDescent="0.15">
      <c r="A373" s="5">
        <v>41780</v>
      </c>
      <c r="C373" t="s">
        <v>41</v>
      </c>
      <c r="D373" s="14">
        <v>97.43</v>
      </c>
      <c r="E373" s="8" t="s">
        <v>94</v>
      </c>
    </row>
    <row r="374" spans="1:5" x14ac:dyDescent="0.15">
      <c r="A374" s="5">
        <v>41781</v>
      </c>
      <c r="C374" t="s">
        <v>168</v>
      </c>
      <c r="D374" s="14">
        <v>27.43</v>
      </c>
      <c r="E374" s="16" t="s">
        <v>325</v>
      </c>
    </row>
    <row r="375" spans="1:5" x14ac:dyDescent="0.15">
      <c r="A375" s="5">
        <v>41781</v>
      </c>
      <c r="C375" t="s">
        <v>13</v>
      </c>
      <c r="D375" s="14">
        <v>11</v>
      </c>
      <c r="E375" s="8" t="s">
        <v>94</v>
      </c>
    </row>
    <row r="376" spans="1:5" x14ac:dyDescent="0.15">
      <c r="A376" s="5">
        <v>41781</v>
      </c>
      <c r="C376" t="s">
        <v>57</v>
      </c>
      <c r="D376" s="14">
        <v>9</v>
      </c>
      <c r="E376" s="16" t="s">
        <v>246</v>
      </c>
    </row>
    <row r="377" spans="1:5" x14ac:dyDescent="0.15">
      <c r="A377" s="5">
        <v>41782</v>
      </c>
      <c r="C377" t="s">
        <v>38</v>
      </c>
      <c r="D377" s="14">
        <v>23</v>
      </c>
      <c r="E377" s="8" t="s">
        <v>63</v>
      </c>
    </row>
    <row r="378" spans="1:5" x14ac:dyDescent="0.15">
      <c r="A378" s="5">
        <v>41782</v>
      </c>
      <c r="D378" s="14">
        <v>129.94999999999999</v>
      </c>
      <c r="E378" s="16" t="s">
        <v>326</v>
      </c>
    </row>
    <row r="379" spans="1:5" x14ac:dyDescent="0.15">
      <c r="A379" s="17">
        <v>41784</v>
      </c>
      <c r="C379" t="s">
        <v>46</v>
      </c>
      <c r="D379" s="14">
        <v>30</v>
      </c>
      <c r="E379" s="8" t="s">
        <v>94</v>
      </c>
    </row>
    <row r="380" spans="1:5" x14ac:dyDescent="0.15">
      <c r="A380" s="5">
        <v>41784</v>
      </c>
      <c r="C380" t="s">
        <v>46</v>
      </c>
      <c r="D380" s="14">
        <v>10</v>
      </c>
      <c r="E380" s="16" t="s">
        <v>196</v>
      </c>
    </row>
    <row r="381" spans="1:5" x14ac:dyDescent="0.15">
      <c r="A381" s="5">
        <v>41785</v>
      </c>
      <c r="C381" t="s">
        <v>64</v>
      </c>
      <c r="D381" s="14">
        <v>6</v>
      </c>
      <c r="E381" s="16" t="s">
        <v>327</v>
      </c>
    </row>
    <row r="382" spans="1:5" x14ac:dyDescent="0.15">
      <c r="A382" s="5">
        <v>41785</v>
      </c>
      <c r="C382" t="s">
        <v>15</v>
      </c>
      <c r="D382" s="14">
        <v>8.11</v>
      </c>
      <c r="E382" s="8" t="s">
        <v>94</v>
      </c>
    </row>
    <row r="383" spans="1:5" x14ac:dyDescent="0.15">
      <c r="A383" s="17">
        <v>41785</v>
      </c>
      <c r="C383" t="s">
        <v>15</v>
      </c>
      <c r="D383" s="14">
        <v>0.5</v>
      </c>
      <c r="E383" s="16" t="s">
        <v>328</v>
      </c>
    </row>
    <row r="384" spans="1:5" x14ac:dyDescent="0.15">
      <c r="A384" s="5">
        <v>41785</v>
      </c>
      <c r="C384" t="s">
        <v>38</v>
      </c>
      <c r="D384" s="14">
        <v>3</v>
      </c>
      <c r="E384" s="8" t="s">
        <v>63</v>
      </c>
    </row>
    <row r="385" spans="1:5" x14ac:dyDescent="0.15">
      <c r="A385" s="5">
        <v>41785</v>
      </c>
      <c r="C385" t="s">
        <v>38</v>
      </c>
      <c r="D385" s="14">
        <v>13.95</v>
      </c>
      <c r="E385" s="16" t="s">
        <v>329</v>
      </c>
    </row>
    <row r="386" spans="1:5" x14ac:dyDescent="0.15">
      <c r="A386" s="5">
        <v>41787</v>
      </c>
      <c r="C386" t="s">
        <v>46</v>
      </c>
      <c r="D386" s="14">
        <v>13.98</v>
      </c>
      <c r="E386" s="16" t="s">
        <v>330</v>
      </c>
    </row>
    <row r="387" spans="1:5" x14ac:dyDescent="0.15">
      <c r="A387" s="5">
        <v>41787</v>
      </c>
      <c r="C387" t="s">
        <v>61</v>
      </c>
      <c r="D387" s="14">
        <v>10.79</v>
      </c>
      <c r="E387" s="16" t="s">
        <v>330</v>
      </c>
    </row>
    <row r="388" spans="1:5" x14ac:dyDescent="0.15">
      <c r="A388" s="5">
        <v>41787</v>
      </c>
      <c r="C388" t="s">
        <v>15</v>
      </c>
      <c r="D388" s="14">
        <v>11.73</v>
      </c>
      <c r="E388" s="16" t="s">
        <v>331</v>
      </c>
    </row>
    <row r="389" spans="1:5" x14ac:dyDescent="0.15">
      <c r="A389" s="5">
        <v>41787</v>
      </c>
      <c r="C389" t="s">
        <v>15</v>
      </c>
      <c r="D389" s="14">
        <v>2</v>
      </c>
      <c r="E389" s="16" t="s">
        <v>332</v>
      </c>
    </row>
    <row r="390" spans="1:5" x14ac:dyDescent="0.15">
      <c r="A390" s="5">
        <v>41787</v>
      </c>
      <c r="C390" t="s">
        <v>17</v>
      </c>
      <c r="D390" s="23">
        <v>113.2</v>
      </c>
      <c r="E390" s="16" t="s">
        <v>330</v>
      </c>
    </row>
    <row r="391" spans="1:5" x14ac:dyDescent="0.15">
      <c r="A391" s="5">
        <v>41787</v>
      </c>
      <c r="C391" t="s">
        <v>61</v>
      </c>
      <c r="D391" s="14">
        <v>16.559999999999999</v>
      </c>
      <c r="E391" s="16" t="s">
        <v>330</v>
      </c>
    </row>
    <row r="392" spans="1:5" x14ac:dyDescent="0.15">
      <c r="A392" s="5">
        <v>41787</v>
      </c>
      <c r="C392" t="s">
        <v>45</v>
      </c>
      <c r="D392" s="14">
        <v>20.98</v>
      </c>
      <c r="E392" s="16" t="s">
        <v>333</v>
      </c>
    </row>
    <row r="393" spans="1:5" x14ac:dyDescent="0.15">
      <c r="A393" s="5">
        <v>41787</v>
      </c>
      <c r="C393" t="s">
        <v>15</v>
      </c>
      <c r="D393" s="14">
        <v>10</v>
      </c>
      <c r="E393" s="16" t="s">
        <v>334</v>
      </c>
    </row>
    <row r="394" spans="1:5" x14ac:dyDescent="0.15">
      <c r="A394" s="5">
        <v>41787</v>
      </c>
      <c r="C394" t="s">
        <v>15</v>
      </c>
      <c r="D394" s="14">
        <v>18.78</v>
      </c>
      <c r="E394" s="16" t="s">
        <v>335</v>
      </c>
    </row>
    <row r="395" spans="1:5" x14ac:dyDescent="0.15">
      <c r="A395" s="5">
        <v>41788</v>
      </c>
      <c r="C395" t="s">
        <v>33</v>
      </c>
      <c r="D395" s="14">
        <v>14.99</v>
      </c>
      <c r="E395" s="16" t="s">
        <v>336</v>
      </c>
    </row>
    <row r="396" spans="1:5" x14ac:dyDescent="0.15">
      <c r="A396" s="5">
        <v>41788</v>
      </c>
      <c r="C396" t="s">
        <v>15</v>
      </c>
      <c r="D396" s="14">
        <v>8.94</v>
      </c>
      <c r="E396" s="16" t="s">
        <v>94</v>
      </c>
    </row>
    <row r="397" spans="1:5" x14ac:dyDescent="0.15">
      <c r="A397" s="5">
        <v>41788</v>
      </c>
      <c r="C397" t="s">
        <v>168</v>
      </c>
      <c r="D397" s="14">
        <v>60.66</v>
      </c>
      <c r="E397" s="16" t="s">
        <v>337</v>
      </c>
    </row>
    <row r="398" spans="1:5" x14ac:dyDescent="0.15">
      <c r="A398" s="5">
        <v>41788</v>
      </c>
      <c r="C398" t="s">
        <v>13</v>
      </c>
      <c r="D398" s="14">
        <v>13</v>
      </c>
      <c r="E398" s="16" t="s">
        <v>338</v>
      </c>
    </row>
    <row r="399" spans="1:5" x14ac:dyDescent="0.15">
      <c r="A399" s="5">
        <v>41789</v>
      </c>
      <c r="C399" t="s">
        <v>37</v>
      </c>
      <c r="D399" s="14">
        <v>25.25</v>
      </c>
      <c r="E399" s="16" t="s">
        <v>339</v>
      </c>
    </row>
    <row r="400" spans="1:5" x14ac:dyDescent="0.15">
      <c r="A400" s="5">
        <v>41790</v>
      </c>
      <c r="C400" t="s">
        <v>38</v>
      </c>
      <c r="D400" s="14">
        <v>3</v>
      </c>
      <c r="E400" s="16" t="s">
        <v>340</v>
      </c>
    </row>
    <row r="401" spans="1:5" x14ac:dyDescent="0.15">
      <c r="A401" s="5">
        <v>41790</v>
      </c>
      <c r="C401" t="s">
        <v>45</v>
      </c>
      <c r="D401" s="14">
        <v>17.29</v>
      </c>
      <c r="E401" s="16" t="s">
        <v>341</v>
      </c>
    </row>
    <row r="402" spans="1:5" x14ac:dyDescent="0.15">
      <c r="A402" s="5">
        <v>41790</v>
      </c>
      <c r="C402" t="s">
        <v>72</v>
      </c>
      <c r="D402" s="14">
        <v>37.5</v>
      </c>
      <c r="E402" s="16" t="s">
        <v>201</v>
      </c>
    </row>
    <row r="403" spans="1:5" x14ac:dyDescent="0.15">
      <c r="A403" s="5">
        <v>41790</v>
      </c>
      <c r="C403" t="s">
        <v>38</v>
      </c>
      <c r="D403" s="14">
        <v>35</v>
      </c>
      <c r="E403" s="16" t="s">
        <v>342</v>
      </c>
    </row>
    <row r="404" spans="1:5" x14ac:dyDescent="0.15">
      <c r="A404" s="5">
        <v>41790</v>
      </c>
      <c r="C404" t="s">
        <v>15</v>
      </c>
      <c r="D404" s="14">
        <v>11.73</v>
      </c>
      <c r="E404" s="16" t="s">
        <v>343</v>
      </c>
    </row>
    <row r="405" spans="1:5" x14ac:dyDescent="0.15">
      <c r="A405" s="5">
        <v>41790</v>
      </c>
      <c r="C405" t="s">
        <v>15</v>
      </c>
      <c r="D405" s="14">
        <v>2</v>
      </c>
      <c r="E405" s="16" t="s">
        <v>196</v>
      </c>
    </row>
    <row r="406" spans="1:5" x14ac:dyDescent="0.15">
      <c r="A406" s="17">
        <v>41791</v>
      </c>
      <c r="C406" t="s">
        <v>401</v>
      </c>
      <c r="D406" s="14">
        <v>21.37</v>
      </c>
      <c r="E406" s="16" t="s">
        <v>344</v>
      </c>
    </row>
    <row r="407" spans="1:5" x14ac:dyDescent="0.15">
      <c r="A407" s="5">
        <v>41791</v>
      </c>
      <c r="C407" t="s">
        <v>38</v>
      </c>
      <c r="D407" s="14">
        <v>5</v>
      </c>
      <c r="E407" s="16" t="s">
        <v>344</v>
      </c>
    </row>
    <row r="408" spans="1:5" x14ac:dyDescent="0.15">
      <c r="A408" s="5">
        <v>41791</v>
      </c>
      <c r="C408" t="s">
        <v>17</v>
      </c>
      <c r="D408" s="23">
        <v>6.85</v>
      </c>
      <c r="E408" s="16" t="s">
        <v>345</v>
      </c>
    </row>
    <row r="409" spans="1:5" x14ac:dyDescent="0.15">
      <c r="A409" s="5">
        <v>41791</v>
      </c>
      <c r="C409" t="s">
        <v>17</v>
      </c>
      <c r="D409" s="23">
        <v>20</v>
      </c>
      <c r="E409" s="16" t="s">
        <v>346</v>
      </c>
    </row>
    <row r="410" spans="1:5" x14ac:dyDescent="0.15">
      <c r="A410" s="5">
        <v>41792</v>
      </c>
      <c r="C410" t="s">
        <v>38</v>
      </c>
      <c r="D410" s="14">
        <v>3</v>
      </c>
      <c r="E410" s="16" t="s">
        <v>347</v>
      </c>
    </row>
    <row r="411" spans="1:5" x14ac:dyDescent="0.15">
      <c r="A411" s="5">
        <v>41792</v>
      </c>
      <c r="C411" t="s">
        <v>15</v>
      </c>
      <c r="D411" s="14">
        <v>8.11</v>
      </c>
      <c r="E411" s="16" t="s">
        <v>348</v>
      </c>
    </row>
    <row r="412" spans="1:5" x14ac:dyDescent="0.15">
      <c r="A412" s="5">
        <v>41792</v>
      </c>
      <c r="C412" t="s">
        <v>64</v>
      </c>
      <c r="D412" s="14">
        <v>3</v>
      </c>
      <c r="E412" s="16" t="s">
        <v>349</v>
      </c>
    </row>
    <row r="413" spans="1:5" x14ac:dyDescent="0.15">
      <c r="A413" s="5">
        <v>41792</v>
      </c>
      <c r="C413" t="s">
        <v>15</v>
      </c>
      <c r="D413" s="14">
        <v>62</v>
      </c>
      <c r="E413" s="16" t="s">
        <v>350</v>
      </c>
    </row>
    <row r="414" spans="1:5" x14ac:dyDescent="0.15">
      <c r="A414" s="5">
        <v>41793</v>
      </c>
      <c r="C414" t="s">
        <v>38</v>
      </c>
      <c r="D414" s="14">
        <v>3</v>
      </c>
      <c r="E414" s="16" t="s">
        <v>347</v>
      </c>
    </row>
    <row r="415" spans="1:5" ht="26" x14ac:dyDescent="0.15">
      <c r="A415" s="5">
        <v>41793</v>
      </c>
      <c r="C415" t="s">
        <v>17</v>
      </c>
      <c r="D415" s="14">
        <v>8.06</v>
      </c>
      <c r="E415" s="16" t="s">
        <v>351</v>
      </c>
    </row>
    <row r="416" spans="1:5" x14ac:dyDescent="0.15">
      <c r="A416" s="5">
        <v>41793</v>
      </c>
      <c r="C416" t="s">
        <v>64</v>
      </c>
      <c r="D416" s="14">
        <v>3</v>
      </c>
      <c r="E416" s="16" t="s">
        <v>352</v>
      </c>
    </row>
    <row r="417" spans="1:5" ht="39" x14ac:dyDescent="0.15">
      <c r="A417" s="5">
        <v>41794</v>
      </c>
      <c r="C417" t="s">
        <v>24</v>
      </c>
      <c r="D417" s="14">
        <v>110.63</v>
      </c>
      <c r="E417" s="16" t="s">
        <v>353</v>
      </c>
    </row>
    <row r="418" spans="1:5" x14ac:dyDescent="0.15">
      <c r="A418" s="5">
        <v>41794</v>
      </c>
      <c r="C418" t="s">
        <v>401</v>
      </c>
      <c r="D418" s="14">
        <v>3</v>
      </c>
      <c r="E418" s="8" t="s">
        <v>63</v>
      </c>
    </row>
    <row r="419" spans="1:5" x14ac:dyDescent="0.15">
      <c r="A419" s="17">
        <v>41794</v>
      </c>
      <c r="C419" t="s">
        <v>15</v>
      </c>
      <c r="D419" s="14">
        <v>9.74</v>
      </c>
      <c r="E419" s="16" t="s">
        <v>354</v>
      </c>
    </row>
    <row r="420" spans="1:5" x14ac:dyDescent="0.15">
      <c r="A420" s="5">
        <v>41795</v>
      </c>
      <c r="C420" t="s">
        <v>12</v>
      </c>
      <c r="D420" s="14">
        <v>12.3</v>
      </c>
      <c r="E420" s="16" t="s">
        <v>355</v>
      </c>
    </row>
    <row r="421" spans="1:5" x14ac:dyDescent="0.15">
      <c r="A421" s="5">
        <v>41796</v>
      </c>
      <c r="C421" t="s">
        <v>33</v>
      </c>
      <c r="D421" s="14">
        <v>876.87</v>
      </c>
      <c r="E421" s="16" t="s">
        <v>356</v>
      </c>
    </row>
    <row r="422" spans="1:5" x14ac:dyDescent="0.15">
      <c r="A422" s="5">
        <v>41797</v>
      </c>
      <c r="C422" t="s">
        <v>17</v>
      </c>
      <c r="D422" s="14">
        <v>47.5</v>
      </c>
      <c r="E422" s="16" t="s">
        <v>357</v>
      </c>
    </row>
    <row r="423" spans="1:5" x14ac:dyDescent="0.15">
      <c r="A423" s="17">
        <v>41797</v>
      </c>
      <c r="C423" t="s">
        <v>17</v>
      </c>
      <c r="D423" s="14">
        <v>25.92</v>
      </c>
      <c r="E423" s="16" t="s">
        <v>358</v>
      </c>
    </row>
    <row r="424" spans="1:5" x14ac:dyDescent="0.15">
      <c r="A424" s="5">
        <v>41798</v>
      </c>
      <c r="C424" t="s">
        <v>15</v>
      </c>
      <c r="D424" s="14">
        <v>15.95</v>
      </c>
      <c r="E424" s="16" t="s">
        <v>359</v>
      </c>
    </row>
    <row r="425" spans="1:5" ht="26" x14ac:dyDescent="0.15">
      <c r="A425" s="5">
        <v>41798</v>
      </c>
      <c r="C425" t="s">
        <v>61</v>
      </c>
      <c r="D425" s="14">
        <v>18.57</v>
      </c>
      <c r="E425" s="16" t="s">
        <v>360</v>
      </c>
    </row>
    <row r="426" spans="1:5" ht="26" x14ac:dyDescent="0.15">
      <c r="A426" s="5">
        <v>41798</v>
      </c>
      <c r="C426" t="s">
        <v>69</v>
      </c>
      <c r="D426" s="14">
        <v>15.98</v>
      </c>
      <c r="E426" s="8" t="s">
        <v>361</v>
      </c>
    </row>
    <row r="427" spans="1:5" ht="26" x14ac:dyDescent="0.15">
      <c r="A427" s="5">
        <v>41798</v>
      </c>
      <c r="C427" t="s">
        <v>17</v>
      </c>
      <c r="D427" s="14">
        <v>127.65</v>
      </c>
      <c r="E427" s="8" t="s">
        <v>362</v>
      </c>
    </row>
    <row r="428" spans="1:5" x14ac:dyDescent="0.15">
      <c r="A428" s="5">
        <v>41798</v>
      </c>
      <c r="C428" t="s">
        <v>33</v>
      </c>
      <c r="D428" s="14">
        <v>22.38</v>
      </c>
      <c r="E428" s="16" t="s">
        <v>363</v>
      </c>
    </row>
    <row r="429" spans="1:5" x14ac:dyDescent="0.15">
      <c r="A429" s="5">
        <v>41799</v>
      </c>
      <c r="C429" t="s">
        <v>15</v>
      </c>
      <c r="D429" s="14">
        <v>13.35</v>
      </c>
      <c r="E429" s="8" t="s">
        <v>94</v>
      </c>
    </row>
    <row r="430" spans="1:5" x14ac:dyDescent="0.15">
      <c r="A430" s="5">
        <v>41799</v>
      </c>
      <c r="C430" t="s">
        <v>15</v>
      </c>
      <c r="D430" s="14">
        <v>3</v>
      </c>
      <c r="E430" s="16" t="s">
        <v>364</v>
      </c>
    </row>
    <row r="431" spans="1:5" x14ac:dyDescent="0.15">
      <c r="A431" s="5">
        <v>41799</v>
      </c>
      <c r="C431" t="s">
        <v>270</v>
      </c>
      <c r="D431" s="14">
        <v>300</v>
      </c>
      <c r="E431" s="16" t="s">
        <v>365</v>
      </c>
    </row>
    <row r="432" spans="1:5" x14ac:dyDescent="0.15">
      <c r="A432" s="5">
        <v>41800</v>
      </c>
      <c r="C432" t="s">
        <v>57</v>
      </c>
      <c r="D432" s="14">
        <v>3</v>
      </c>
      <c r="E432" s="16" t="s">
        <v>94</v>
      </c>
    </row>
    <row r="433" spans="1:5" x14ac:dyDescent="0.15">
      <c r="A433" s="17">
        <v>41800</v>
      </c>
      <c r="C433" t="s">
        <v>13</v>
      </c>
      <c r="D433" s="14">
        <v>68</v>
      </c>
      <c r="E433" s="16" t="s">
        <v>366</v>
      </c>
    </row>
    <row r="434" spans="1:5" ht="26" x14ac:dyDescent="0.15">
      <c r="A434" s="5">
        <v>41800</v>
      </c>
      <c r="C434" t="s">
        <v>61</v>
      </c>
      <c r="D434" s="14">
        <v>65.66</v>
      </c>
      <c r="E434" s="16" t="s">
        <v>367</v>
      </c>
    </row>
    <row r="435" spans="1:5" ht="26" x14ac:dyDescent="0.15">
      <c r="A435" s="5">
        <v>41800</v>
      </c>
      <c r="C435" t="s">
        <v>33</v>
      </c>
      <c r="D435" s="14">
        <v>52.42</v>
      </c>
      <c r="E435" s="16" t="s">
        <v>367</v>
      </c>
    </row>
    <row r="436" spans="1:5" x14ac:dyDescent="0.15">
      <c r="A436" s="5">
        <v>41800</v>
      </c>
      <c r="C436" t="s">
        <v>177</v>
      </c>
      <c r="D436" s="14">
        <v>200</v>
      </c>
      <c r="E436" s="16" t="s">
        <v>368</v>
      </c>
    </row>
    <row r="437" spans="1:5" x14ac:dyDescent="0.15">
      <c r="A437" s="5">
        <v>41800</v>
      </c>
      <c r="C437" t="s">
        <v>16</v>
      </c>
      <c r="D437" s="14">
        <v>26.38</v>
      </c>
      <c r="E437" s="16" t="s">
        <v>239</v>
      </c>
    </row>
    <row r="438" spans="1:5" x14ac:dyDescent="0.15">
      <c r="A438" s="5">
        <v>41800</v>
      </c>
      <c r="D438" s="14">
        <v>59.99</v>
      </c>
      <c r="E438" s="16" t="s">
        <v>369</v>
      </c>
    </row>
    <row r="439" spans="1:5" x14ac:dyDescent="0.15">
      <c r="A439" s="5">
        <v>41800</v>
      </c>
      <c r="D439" s="14">
        <v>30.89</v>
      </c>
      <c r="E439" s="16" t="s">
        <v>369</v>
      </c>
    </row>
    <row r="440" spans="1:5" ht="26" x14ac:dyDescent="0.15">
      <c r="A440" s="17">
        <v>41801</v>
      </c>
      <c r="C440" t="s">
        <v>61</v>
      </c>
      <c r="D440" s="14">
        <v>4.88</v>
      </c>
      <c r="E440" s="16" t="s">
        <v>370</v>
      </c>
    </row>
    <row r="441" spans="1:5" ht="26" x14ac:dyDescent="0.15">
      <c r="A441" s="5">
        <v>41801</v>
      </c>
      <c r="C441" t="s">
        <v>33</v>
      </c>
      <c r="D441" s="14">
        <v>116.21</v>
      </c>
      <c r="E441" s="16" t="s">
        <v>370</v>
      </c>
    </row>
    <row r="442" spans="1:5" x14ac:dyDescent="0.15">
      <c r="A442" s="5">
        <v>41801</v>
      </c>
      <c r="C442" t="s">
        <v>15</v>
      </c>
      <c r="D442" s="14">
        <v>9.57</v>
      </c>
      <c r="E442" s="16" t="s">
        <v>371</v>
      </c>
    </row>
    <row r="443" spans="1:5" x14ac:dyDescent="0.15">
      <c r="A443" s="5">
        <v>41801</v>
      </c>
      <c r="C443" t="s">
        <v>15</v>
      </c>
      <c r="D443" s="14">
        <v>2.5</v>
      </c>
      <c r="E443" s="8" t="s">
        <v>63</v>
      </c>
    </row>
    <row r="444" spans="1:5" x14ac:dyDescent="0.15">
      <c r="A444" s="5">
        <v>41801</v>
      </c>
      <c r="C444" t="s">
        <v>177</v>
      </c>
      <c r="D444" s="14">
        <v>10</v>
      </c>
      <c r="E444" s="16" t="s">
        <v>372</v>
      </c>
    </row>
    <row r="445" spans="1:5" x14ac:dyDescent="0.15">
      <c r="A445" s="5">
        <v>41801</v>
      </c>
      <c r="C445" t="s">
        <v>33</v>
      </c>
      <c r="D445" s="14">
        <v>145.29</v>
      </c>
      <c r="E445" s="16" t="s">
        <v>373</v>
      </c>
    </row>
    <row r="446" spans="1:5" x14ac:dyDescent="0.15">
      <c r="A446" s="5">
        <v>41801</v>
      </c>
      <c r="C446" t="s">
        <v>400</v>
      </c>
      <c r="D446" s="14">
        <v>100</v>
      </c>
      <c r="E446" s="16" t="s">
        <v>374</v>
      </c>
    </row>
    <row r="447" spans="1:5" x14ac:dyDescent="0.15">
      <c r="A447" s="5">
        <v>41801</v>
      </c>
      <c r="C447" t="s">
        <v>15</v>
      </c>
      <c r="D447" s="14">
        <v>15.59</v>
      </c>
      <c r="E447" s="16" t="s">
        <v>375</v>
      </c>
    </row>
    <row r="448" spans="1:5" x14ac:dyDescent="0.15">
      <c r="A448" s="5">
        <v>41801</v>
      </c>
      <c r="C448" t="s">
        <v>33</v>
      </c>
      <c r="D448" s="14">
        <v>707.34</v>
      </c>
      <c r="E448" s="16" t="s">
        <v>147</v>
      </c>
    </row>
    <row r="449" spans="1:5" x14ac:dyDescent="0.15">
      <c r="A449" s="5">
        <v>41802</v>
      </c>
      <c r="C449" t="s">
        <v>15</v>
      </c>
      <c r="D449" s="14">
        <v>12.88</v>
      </c>
      <c r="E449" s="8" t="s">
        <v>256</v>
      </c>
    </row>
    <row r="450" spans="1:5" x14ac:dyDescent="0.15">
      <c r="A450" s="5">
        <v>41802</v>
      </c>
      <c r="C450" t="s">
        <v>33</v>
      </c>
      <c r="D450" s="14">
        <v>93.26</v>
      </c>
      <c r="E450" s="8" t="s">
        <v>256</v>
      </c>
    </row>
    <row r="451" spans="1:5" x14ac:dyDescent="0.15">
      <c r="A451" s="5">
        <v>41802</v>
      </c>
      <c r="C451" t="s">
        <v>17</v>
      </c>
      <c r="D451" s="14">
        <v>11.98</v>
      </c>
      <c r="E451" s="8" t="s">
        <v>94</v>
      </c>
    </row>
    <row r="452" spans="1:5" x14ac:dyDescent="0.15">
      <c r="A452" s="5">
        <v>41802</v>
      </c>
      <c r="C452" t="s">
        <v>57</v>
      </c>
      <c r="D452" s="14">
        <v>3</v>
      </c>
      <c r="E452" s="8" t="s">
        <v>246</v>
      </c>
    </row>
    <row r="453" spans="1:5" x14ac:dyDescent="0.15">
      <c r="A453" s="5">
        <v>41803</v>
      </c>
      <c r="C453" t="s">
        <v>15</v>
      </c>
      <c r="D453" s="14">
        <v>1.44</v>
      </c>
      <c r="E453" s="8" t="s">
        <v>63</v>
      </c>
    </row>
    <row r="454" spans="1:5" x14ac:dyDescent="0.15">
      <c r="A454" s="5">
        <v>41803</v>
      </c>
      <c r="C454" t="s">
        <v>57</v>
      </c>
      <c r="D454" s="14">
        <v>3</v>
      </c>
      <c r="E454" s="8" t="s">
        <v>246</v>
      </c>
    </row>
    <row r="455" spans="1:5" x14ac:dyDescent="0.15">
      <c r="A455" s="5">
        <v>41803</v>
      </c>
      <c r="C455" t="s">
        <v>270</v>
      </c>
      <c r="D455" s="14">
        <v>83.95</v>
      </c>
      <c r="E455" s="16" t="s">
        <v>337</v>
      </c>
    </row>
    <row r="456" spans="1:5" x14ac:dyDescent="0.15">
      <c r="A456" s="5">
        <v>41803</v>
      </c>
      <c r="C456" t="s">
        <v>33</v>
      </c>
      <c r="D456" s="14">
        <v>89.98</v>
      </c>
      <c r="E456" s="16" t="s">
        <v>376</v>
      </c>
    </row>
    <row r="457" spans="1:5" x14ac:dyDescent="0.15">
      <c r="A457" s="5">
        <v>41803</v>
      </c>
      <c r="C457" t="s">
        <v>12</v>
      </c>
      <c r="D457" s="14">
        <v>5.75</v>
      </c>
      <c r="E457" s="8" t="s">
        <v>94</v>
      </c>
    </row>
    <row r="458" spans="1:5" x14ac:dyDescent="0.15">
      <c r="A458" s="17">
        <v>41804</v>
      </c>
      <c r="C458" t="s">
        <v>15</v>
      </c>
      <c r="D458" s="14">
        <v>18.79</v>
      </c>
      <c r="E458" s="16" t="s">
        <v>377</v>
      </c>
    </row>
    <row r="459" spans="1:5" x14ac:dyDescent="0.15">
      <c r="A459" s="5">
        <v>41804</v>
      </c>
      <c r="C459" t="s">
        <v>46</v>
      </c>
      <c r="D459" s="14">
        <v>12.95</v>
      </c>
      <c r="E459" s="8" t="s">
        <v>94</v>
      </c>
    </row>
    <row r="460" spans="1:5" x14ac:dyDescent="0.15">
      <c r="A460" s="5">
        <v>41804</v>
      </c>
      <c r="C460" t="s">
        <v>46</v>
      </c>
      <c r="D460" s="14">
        <v>5</v>
      </c>
      <c r="E460" s="16" t="s">
        <v>332</v>
      </c>
    </row>
    <row r="461" spans="1:5" x14ac:dyDescent="0.15">
      <c r="A461" s="5">
        <v>41804</v>
      </c>
      <c r="C461" t="s">
        <v>70</v>
      </c>
      <c r="D461" s="14">
        <v>12.78</v>
      </c>
      <c r="E461" s="16" t="s">
        <v>378</v>
      </c>
    </row>
    <row r="462" spans="1:5" ht="26" x14ac:dyDescent="0.15">
      <c r="A462" s="5">
        <v>41804</v>
      </c>
      <c r="C462" t="s">
        <v>61</v>
      </c>
      <c r="D462" s="14">
        <v>10.68</v>
      </c>
      <c r="E462" s="16" t="s">
        <v>379</v>
      </c>
    </row>
    <row r="463" spans="1:5" ht="26" x14ac:dyDescent="0.15">
      <c r="A463" s="5">
        <v>41804</v>
      </c>
      <c r="C463" t="s">
        <v>17</v>
      </c>
      <c r="D463" s="14">
        <v>15.46</v>
      </c>
      <c r="E463" s="16" t="s">
        <v>380</v>
      </c>
    </row>
    <row r="464" spans="1:5" x14ac:dyDescent="0.15">
      <c r="A464" s="17">
        <v>41804</v>
      </c>
      <c r="C464" t="s">
        <v>177</v>
      </c>
      <c r="D464" s="14">
        <v>320</v>
      </c>
      <c r="E464" s="16" t="s">
        <v>381</v>
      </c>
    </row>
    <row r="465" spans="1:5" x14ac:dyDescent="0.15">
      <c r="A465" s="5">
        <v>41804</v>
      </c>
      <c r="C465" t="s">
        <v>57</v>
      </c>
      <c r="D465" s="14">
        <v>15</v>
      </c>
      <c r="E465" s="16" t="s">
        <v>382</v>
      </c>
    </row>
    <row r="466" spans="1:5" x14ac:dyDescent="0.15">
      <c r="A466" s="5">
        <v>41804</v>
      </c>
      <c r="C466" t="s">
        <v>177</v>
      </c>
      <c r="D466" s="14">
        <v>320</v>
      </c>
      <c r="E466" s="16" t="s">
        <v>383</v>
      </c>
    </row>
    <row r="467" spans="1:5" x14ac:dyDescent="0.15">
      <c r="A467" s="5">
        <v>41805</v>
      </c>
      <c r="C467" t="s">
        <v>46</v>
      </c>
      <c r="D467" s="14">
        <v>34</v>
      </c>
      <c r="E467" s="8" t="s">
        <v>151</v>
      </c>
    </row>
    <row r="468" spans="1:5" x14ac:dyDescent="0.15">
      <c r="A468" s="5">
        <v>41805</v>
      </c>
      <c r="C468" t="s">
        <v>46</v>
      </c>
      <c r="D468" s="14">
        <v>10</v>
      </c>
      <c r="E468" s="16" t="s">
        <v>196</v>
      </c>
    </row>
    <row r="469" spans="1:5" x14ac:dyDescent="0.15">
      <c r="A469" s="5">
        <v>41805</v>
      </c>
      <c r="C469" t="s">
        <v>270</v>
      </c>
      <c r="D469" s="14">
        <v>320</v>
      </c>
      <c r="E469" s="16" t="s">
        <v>365</v>
      </c>
    </row>
    <row r="470" spans="1:5" x14ac:dyDescent="0.15">
      <c r="A470" s="5">
        <v>41805</v>
      </c>
      <c r="C470" t="s">
        <v>15</v>
      </c>
      <c r="D470" s="14">
        <v>7.77</v>
      </c>
      <c r="E470" s="8" t="s">
        <v>151</v>
      </c>
    </row>
    <row r="471" spans="1:5" x14ac:dyDescent="0.15">
      <c r="A471" s="17">
        <v>41807</v>
      </c>
      <c r="C471" t="s">
        <v>168</v>
      </c>
      <c r="D471" s="14">
        <v>68.400000000000006</v>
      </c>
      <c r="E471" s="16" t="s">
        <v>337</v>
      </c>
    </row>
    <row r="472" spans="1:5" x14ac:dyDescent="0.15">
      <c r="A472" s="17">
        <v>41807</v>
      </c>
      <c r="C472" t="s">
        <v>270</v>
      </c>
      <c r="D472" s="14">
        <v>76.319999999999993</v>
      </c>
      <c r="E472" s="8" t="s">
        <v>147</v>
      </c>
    </row>
    <row r="473" spans="1:5" x14ac:dyDescent="0.15">
      <c r="A473" s="5">
        <v>41807</v>
      </c>
      <c r="C473" t="s">
        <v>17</v>
      </c>
      <c r="D473" s="14">
        <v>22.69</v>
      </c>
      <c r="E473" s="16" t="s">
        <v>384</v>
      </c>
    </row>
    <row r="474" spans="1:5" x14ac:dyDescent="0.15">
      <c r="A474" s="5">
        <v>41807</v>
      </c>
      <c r="C474" t="s">
        <v>69</v>
      </c>
      <c r="D474" s="14">
        <v>15.98</v>
      </c>
      <c r="E474" s="16" t="s">
        <v>385</v>
      </c>
    </row>
    <row r="475" spans="1:5" x14ac:dyDescent="0.15">
      <c r="A475" s="5">
        <v>41807</v>
      </c>
      <c r="C475" t="s">
        <v>57</v>
      </c>
      <c r="D475" s="14">
        <v>3.5</v>
      </c>
      <c r="E475" s="16" t="s">
        <v>386</v>
      </c>
    </row>
    <row r="476" spans="1:5" x14ac:dyDescent="0.15">
      <c r="A476" s="5">
        <v>41808</v>
      </c>
      <c r="C476" t="s">
        <v>38</v>
      </c>
      <c r="D476" s="14">
        <v>1.75</v>
      </c>
      <c r="E476" s="8" t="s">
        <v>63</v>
      </c>
    </row>
    <row r="477" spans="1:5" x14ac:dyDescent="0.15">
      <c r="A477" s="5">
        <v>41808</v>
      </c>
      <c r="C477" t="s">
        <v>15</v>
      </c>
      <c r="D477" s="14">
        <v>20</v>
      </c>
      <c r="E477" s="8" t="s">
        <v>63</v>
      </c>
    </row>
    <row r="478" spans="1:5" x14ac:dyDescent="0.15">
      <c r="A478" s="5">
        <v>41808</v>
      </c>
      <c r="C478" t="s">
        <v>15</v>
      </c>
      <c r="D478" s="14">
        <v>15.05</v>
      </c>
      <c r="E478" s="8" t="s">
        <v>147</v>
      </c>
    </row>
    <row r="479" spans="1:5" x14ac:dyDescent="0.15">
      <c r="A479" s="5">
        <v>41808</v>
      </c>
      <c r="C479" t="s">
        <v>38</v>
      </c>
      <c r="D479" s="14">
        <v>4.6500000000000004</v>
      </c>
      <c r="E479" s="16" t="s">
        <v>387</v>
      </c>
    </row>
    <row r="480" spans="1:5" x14ac:dyDescent="0.15">
      <c r="A480" s="5">
        <v>41809</v>
      </c>
      <c r="C480" t="s">
        <v>41</v>
      </c>
      <c r="D480" s="14">
        <v>97.43</v>
      </c>
      <c r="E480" s="16" t="s">
        <v>388</v>
      </c>
    </row>
    <row r="481" spans="1:5" x14ac:dyDescent="0.15">
      <c r="A481" s="5">
        <v>41810</v>
      </c>
      <c r="C481" t="s">
        <v>33</v>
      </c>
      <c r="D481" s="14">
        <v>31.94</v>
      </c>
      <c r="E481" s="16" t="s">
        <v>389</v>
      </c>
    </row>
    <row r="482" spans="1:5" x14ac:dyDescent="0.15">
      <c r="A482" s="5">
        <v>41811</v>
      </c>
      <c r="C482" t="s">
        <v>270</v>
      </c>
      <c r="D482" s="14">
        <v>308.14</v>
      </c>
      <c r="E482" s="8" t="s">
        <v>147</v>
      </c>
    </row>
    <row r="483" spans="1:5" x14ac:dyDescent="0.15">
      <c r="A483" s="5">
        <v>41811</v>
      </c>
      <c r="C483" t="s">
        <v>270</v>
      </c>
      <c r="D483" s="14">
        <v>21.65</v>
      </c>
      <c r="E483" s="16" t="s">
        <v>390</v>
      </c>
    </row>
    <row r="484" spans="1:5" x14ac:dyDescent="0.15">
      <c r="A484" s="5">
        <v>41811</v>
      </c>
      <c r="C484" t="s">
        <v>182</v>
      </c>
      <c r="D484" s="14">
        <v>10.99</v>
      </c>
      <c r="E484" s="16" t="s">
        <v>391</v>
      </c>
    </row>
    <row r="485" spans="1:5" x14ac:dyDescent="0.15">
      <c r="A485" s="5">
        <v>41811</v>
      </c>
      <c r="C485" t="s">
        <v>182</v>
      </c>
      <c r="D485" s="14">
        <v>7.99</v>
      </c>
      <c r="E485" s="16" t="s">
        <v>391</v>
      </c>
    </row>
    <row r="486" spans="1:5" x14ac:dyDescent="0.15">
      <c r="A486" s="5">
        <v>41811</v>
      </c>
      <c r="C486" t="s">
        <v>177</v>
      </c>
      <c r="D486" s="14">
        <v>100</v>
      </c>
      <c r="E486" s="16" t="s">
        <v>392</v>
      </c>
    </row>
    <row r="487" spans="1:5" x14ac:dyDescent="0.15">
      <c r="A487" s="5">
        <v>41812</v>
      </c>
      <c r="C487" t="s">
        <v>38</v>
      </c>
      <c r="D487" s="14">
        <v>3</v>
      </c>
      <c r="E487" s="16" t="s">
        <v>242</v>
      </c>
    </row>
    <row r="488" spans="1:5" x14ac:dyDescent="0.15">
      <c r="A488" s="5">
        <v>41812</v>
      </c>
      <c r="C488" t="s">
        <v>15</v>
      </c>
      <c r="D488" s="14">
        <v>9.1300000000000008</v>
      </c>
      <c r="E488" s="8" t="s">
        <v>94</v>
      </c>
    </row>
    <row r="489" spans="1:5" ht="26" x14ac:dyDescent="0.15">
      <c r="A489" s="5">
        <v>41812</v>
      </c>
      <c r="C489" t="s">
        <v>402</v>
      </c>
      <c r="D489" s="14">
        <v>49.34</v>
      </c>
      <c r="E489" s="8" t="s">
        <v>393</v>
      </c>
    </row>
    <row r="490" spans="1:5" x14ac:dyDescent="0.15">
      <c r="A490" s="5">
        <v>41812</v>
      </c>
      <c r="C490" t="s">
        <v>12</v>
      </c>
      <c r="D490" s="14">
        <v>7</v>
      </c>
      <c r="E490" s="8" t="s">
        <v>63</v>
      </c>
    </row>
    <row r="491" spans="1:5" x14ac:dyDescent="0.15">
      <c r="A491" s="5">
        <v>41812</v>
      </c>
      <c r="C491" t="s">
        <v>22</v>
      </c>
      <c r="D491" s="14">
        <v>3</v>
      </c>
      <c r="E491" s="8" t="s">
        <v>63</v>
      </c>
    </row>
    <row r="492" spans="1:5" x14ac:dyDescent="0.15">
      <c r="A492" s="5">
        <v>41812</v>
      </c>
      <c r="C492" t="s">
        <v>17</v>
      </c>
      <c r="D492" s="14">
        <v>8.51</v>
      </c>
      <c r="E492" s="8" t="s">
        <v>94</v>
      </c>
    </row>
    <row r="493" spans="1:5" ht="26" x14ac:dyDescent="0.15">
      <c r="A493" s="5">
        <v>41812</v>
      </c>
      <c r="C493" t="s">
        <v>46</v>
      </c>
      <c r="D493" s="14">
        <v>48.99</v>
      </c>
      <c r="E493" s="8" t="s">
        <v>394</v>
      </c>
    </row>
    <row r="494" spans="1:5" x14ac:dyDescent="0.15">
      <c r="A494" s="5">
        <v>41812</v>
      </c>
      <c r="C494" t="s">
        <v>22</v>
      </c>
      <c r="D494" s="14">
        <v>41.71</v>
      </c>
      <c r="E494" s="8" t="s">
        <v>395</v>
      </c>
    </row>
    <row r="495" spans="1:5" x14ac:dyDescent="0.15">
      <c r="A495" s="5">
        <v>41812</v>
      </c>
      <c r="C495" t="s">
        <v>38</v>
      </c>
      <c r="D495" s="14">
        <v>13.95</v>
      </c>
      <c r="E495" s="16" t="s">
        <v>396</v>
      </c>
    </row>
    <row r="496" spans="1:5" x14ac:dyDescent="0.15">
      <c r="A496" s="5">
        <v>41812</v>
      </c>
      <c r="C496" t="s">
        <v>38</v>
      </c>
      <c r="D496" s="14">
        <v>13.95</v>
      </c>
      <c r="E496" s="16" t="s">
        <v>396</v>
      </c>
    </row>
    <row r="497" spans="1:5" x14ac:dyDescent="0.15">
      <c r="A497" s="5">
        <v>41812</v>
      </c>
      <c r="C497" t="s">
        <v>70</v>
      </c>
      <c r="D497" s="14">
        <v>27.7</v>
      </c>
      <c r="E497" s="16" t="s">
        <v>378</v>
      </c>
    </row>
    <row r="498" spans="1:5" ht="26" x14ac:dyDescent="0.15">
      <c r="A498" s="5">
        <v>41812</v>
      </c>
      <c r="C498" t="s">
        <v>17</v>
      </c>
      <c r="D498" s="14">
        <v>83.15</v>
      </c>
      <c r="E498" s="16" t="s">
        <v>397</v>
      </c>
    </row>
    <row r="499" spans="1:5" x14ac:dyDescent="0.15">
      <c r="A499" s="5">
        <v>41813</v>
      </c>
      <c r="C499" t="s">
        <v>270</v>
      </c>
      <c r="D499" s="14">
        <v>60</v>
      </c>
      <c r="E499" s="16" t="s">
        <v>398</v>
      </c>
    </row>
    <row r="500" spans="1:5" x14ac:dyDescent="0.15">
      <c r="A500" s="5">
        <v>41814</v>
      </c>
      <c r="C500" t="s">
        <v>17</v>
      </c>
      <c r="D500" s="14">
        <v>43.53</v>
      </c>
      <c r="E500" s="16" t="s">
        <v>399</v>
      </c>
    </row>
    <row r="501" spans="1:5" x14ac:dyDescent="0.15">
      <c r="A501" s="5">
        <v>41817</v>
      </c>
      <c r="C501" t="s">
        <v>37</v>
      </c>
      <c r="D501" s="14">
        <v>25.91</v>
      </c>
      <c r="E501" s="8" t="s">
        <v>94</v>
      </c>
    </row>
  </sheetData>
  <autoFilter ref="A1:E501" xr:uid="{00000000-0009-0000-0000-000001000000}"/>
  <sortState ref="A2:E121">
    <sortCondition ref="A2:A121"/>
  </sortState>
  <phoneticPr fontId="6" type="noConversion"/>
  <dataValidations count="2">
    <dataValidation type="list" allowBlank="1" showInputMessage="1" showErrorMessage="1" sqref="B2:B1048576" xr:uid="{455273B8-1D2E-E548-8BA0-BFACD0FEB00B}">
      <formula1>Categories</formula1>
    </dataValidation>
    <dataValidation type="list" allowBlank="1" showInputMessage="1" showErrorMessage="1" sqref="C2:C1048576" xr:uid="{2987A7FB-134A-834D-A5A0-EB9368D1A793}">
      <formula1>INDIRECT(B2)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4</xdr:col>
                    <xdr:colOff>76200</xdr:colOff>
                    <xdr:row>0</xdr:row>
                    <xdr:rowOff>50800</xdr:rowOff>
                  </from>
                  <to>
                    <xdr:col>4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5</xdr:col>
                    <xdr:colOff>114300</xdr:colOff>
                    <xdr:row>0</xdr:row>
                    <xdr:rowOff>63500</xdr:rowOff>
                  </from>
                  <to>
                    <xdr:col>5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5</xdr:col>
                    <xdr:colOff>114300</xdr:colOff>
                    <xdr:row>0</xdr:row>
                    <xdr:rowOff>254000</xdr:rowOff>
                  </from>
                  <to>
                    <xdr:col>5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FoodOut">
                <anchor moveWithCells="1" sizeWithCells="1">
                  <from>
                    <xdr:col>2</xdr:col>
                    <xdr:colOff>76200</xdr:colOff>
                    <xdr:row>0</xdr:row>
                    <xdr:rowOff>50800</xdr:rowOff>
                  </from>
                  <to>
                    <xdr:col>2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FoodGroceryStore">
                <anchor moveWithCells="1" sizeWithCells="1">
                  <from>
                    <xdr:col>2</xdr:col>
                    <xdr:colOff>76200</xdr:colOff>
                    <xdr:row>0</xdr:row>
                    <xdr:rowOff>292100</xdr:rowOff>
                  </from>
                  <to>
                    <xdr:col>2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TransportPublicTransit">
                <anchor moveWithCells="1" sizeWithCells="1">
                  <from>
                    <xdr:col>2</xdr:col>
                    <xdr:colOff>1358900</xdr:colOff>
                    <xdr:row>0</xdr:row>
                    <xdr:rowOff>76200</xdr:rowOff>
                  </from>
                  <to>
                    <xdr:col>2</xdr:col>
                    <xdr:colOff>2451100</xdr:colOff>
                    <xdr:row>0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4</xdr:col>
                    <xdr:colOff>50800</xdr:colOff>
                    <xdr:row>0</xdr:row>
                    <xdr:rowOff>266700</xdr:rowOff>
                  </from>
                  <to>
                    <xdr:col>4</xdr:col>
                    <xdr:colOff>977900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5</xdr:col>
                    <xdr:colOff>76200</xdr:colOff>
                    <xdr:row>0</xdr:row>
                    <xdr:rowOff>711200</xdr:rowOff>
                  </from>
                  <to>
                    <xdr:col>5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4" name="Button 43">
              <controlPr defaultSize="0" print="0" autoFill="0" autoPict="0" macro="[0]!HouseholdLaundry">
                <anchor moveWithCells="1" sizeWithCells="1">
                  <from>
                    <xdr:col>2</xdr:col>
                    <xdr:colOff>1358900</xdr:colOff>
                    <xdr:row>0</xdr:row>
                    <xdr:rowOff>342900</xdr:rowOff>
                  </from>
                  <to>
                    <xdr:col>2</xdr:col>
                    <xdr:colOff>2463800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5" name="Button 54">
              <controlPr defaultSize="0" print="0" autoFill="0" autoPict="0" macro="[0]!totalCharge">
                <anchor moveWithCells="1" sizeWithCells="1">
                  <from>
                    <xdr:col>4</xdr:col>
                    <xdr:colOff>2120900</xdr:colOff>
                    <xdr:row>0</xdr:row>
                    <xdr:rowOff>266700</xdr:rowOff>
                  </from>
                  <to>
                    <xdr:col>4</xdr:col>
                    <xdr:colOff>3048000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6" name="Button 55">
              <controlPr defaultSize="0" print="0" autoFill="0" autoPict="0" macro="[0]!cashBack">
                <anchor moveWithCells="1" sizeWithCells="1">
                  <from>
                    <xdr:col>4</xdr:col>
                    <xdr:colOff>2108200</xdr:colOff>
                    <xdr:row>0</xdr:row>
                    <xdr:rowOff>50800</xdr:rowOff>
                  </from>
                  <to>
                    <xdr:col>4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7" name="Button 60">
              <controlPr defaultSize="0" print="0" autoFill="0" autoPict="0" macro="[0]!tdbCheck">
                <anchor moveWithCells="1" sizeWithCells="1">
                  <from>
                    <xdr:col>4</xdr:col>
                    <xdr:colOff>1066800</xdr:colOff>
                    <xdr:row>0</xdr:row>
                    <xdr:rowOff>50800</xdr:rowOff>
                  </from>
                  <to>
                    <xdr:col>4</xdr:col>
                    <xdr:colOff>2057400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4B37-6FE8-2F4F-ABD6-B962148760DC}">
  <sheetPr codeName="Sheet5"/>
  <dimension ref="A1:F2"/>
  <sheetViews>
    <sheetView tabSelected="1" workbookViewId="0">
      <pane ySplit="1" topLeftCell="A2" activePane="bottomLeft" state="frozen"/>
      <selection pane="bottomLeft" activeCell="C2" sqref="C2"/>
    </sheetView>
  </sheetViews>
  <sheetFormatPr baseColWidth="10" defaultRowHeight="13" x14ac:dyDescent="0.15"/>
  <cols>
    <col min="1" max="1" width="22.33203125" customWidth="1"/>
    <col min="2" max="2" width="13.6640625" bestFit="1" customWidth="1"/>
    <col min="3" max="3" width="32.33203125" customWidth="1"/>
    <col min="4" max="4" width="24" bestFit="1" customWidth="1"/>
    <col min="5" max="5" width="24" customWidth="1"/>
    <col min="6" max="6" width="21" customWidth="1"/>
    <col min="7" max="16384" width="10.83203125" style="91"/>
  </cols>
  <sheetData>
    <row r="1" spans="1:6" s="93" customFormat="1" ht="86" customHeight="1" x14ac:dyDescent="0.15">
      <c r="A1" s="90" t="s">
        <v>68</v>
      </c>
      <c r="B1" s="90" t="s">
        <v>71</v>
      </c>
      <c r="C1" s="90" t="s">
        <v>293</v>
      </c>
      <c r="D1" s="90" t="s">
        <v>73</v>
      </c>
      <c r="E1" s="92" t="s">
        <v>297</v>
      </c>
      <c r="F1" s="92" t="s">
        <v>292</v>
      </c>
    </row>
    <row r="2" spans="1:6" x14ac:dyDescent="0.15">
      <c r="A2" s="89"/>
      <c r="B2" s="15"/>
      <c r="F2" s="15"/>
    </row>
  </sheetData>
  <dataValidations count="3">
    <dataValidation type="list" allowBlank="1" showInputMessage="1" showErrorMessage="1" sqref="B2:B1048576" xr:uid="{68D5DFF1-88CB-2E45-A73C-F002B8DCF7C3}">
      <formula1>Categories</formula1>
    </dataValidation>
    <dataValidation type="list" allowBlank="1" showInputMessage="1" showErrorMessage="1" sqref="E2:E1048576" xr:uid="{77977C0C-FD4E-424A-9474-3461AF5F423A}">
      <formula1>CM_Credit_Cards</formula1>
    </dataValidation>
    <dataValidation type="list" allowBlank="1" showInputMessage="1" showErrorMessage="1" sqref="C2:C1048576" xr:uid="{FDD8FD55-D065-E94E-AE35-F9B9BB89D758}">
      <formula1>INDIRECT(B2)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mazonChase">
                <anchor moveWithCells="1" sizeWithCells="1">
                  <from>
                    <xdr:col>4</xdr:col>
                    <xdr:colOff>266700</xdr:colOff>
                    <xdr:row>0</xdr:row>
                    <xdr:rowOff>101600</xdr:rowOff>
                  </from>
                  <to>
                    <xdr:col>4</xdr:col>
                    <xdr:colOff>1435100</xdr:colOff>
                    <xdr:row>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todaydate">
                <anchor moveWithCells="1" sizeWithCells="1">
                  <from>
                    <xdr:col>0</xdr:col>
                    <xdr:colOff>241300</xdr:colOff>
                    <xdr:row>0</xdr:row>
                    <xdr:rowOff>88900</xdr:rowOff>
                  </from>
                  <to>
                    <xdr:col>0</xdr:col>
                    <xdr:colOff>1295400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yestdate">
                <anchor moveWithCells="1" sizeWithCells="1">
                  <from>
                    <xdr:col>0</xdr:col>
                    <xdr:colOff>241300</xdr:colOff>
                    <xdr:row>0</xdr:row>
                    <xdr:rowOff>381000</xdr:rowOff>
                  </from>
                  <to>
                    <xdr:col>0</xdr:col>
                    <xdr:colOff>1295400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daybfryest">
                <anchor moveWithCells="1" sizeWithCells="1">
                  <from>
                    <xdr:col>0</xdr:col>
                    <xdr:colOff>241300</xdr:colOff>
                    <xdr:row>0</xdr:row>
                    <xdr:rowOff>660400</xdr:rowOff>
                  </from>
                  <to>
                    <xdr:col>0</xdr:col>
                    <xdr:colOff>1295400</xdr:colOff>
                    <xdr:row>0</xdr:row>
                    <xdr:rowOff>901700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FoodFoodOut">
                <anchor moveWithCells="1" sizeWithCells="1">
                  <from>
                    <xdr:col>2</xdr:col>
                    <xdr:colOff>50800</xdr:colOff>
                    <xdr:row>0</xdr:row>
                    <xdr:rowOff>88900</xdr:rowOff>
                  </from>
                  <to>
                    <xdr:col>2</xdr:col>
                    <xdr:colOff>1257300</xdr:colOff>
                    <xdr:row>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Button 15">
              <controlPr defaultSize="0" print="0" autoFill="0" autoPict="0" macro="[0]!FoodGroceryStore">
                <anchor moveWithCells="1" sizeWithCells="1">
                  <from>
                    <xdr:col>2</xdr:col>
                    <xdr:colOff>63500</xdr:colOff>
                    <xdr:row>0</xdr:row>
                    <xdr:rowOff>342900</xdr:rowOff>
                  </from>
                  <to>
                    <xdr:col>2</xdr:col>
                    <xdr:colOff>1257300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9" name="Button 16">
              <controlPr defaultSize="0" print="0" autoFill="0" autoPict="0" macro="[0]!TransportPublicTransit">
                <anchor moveWithCells="1" sizeWithCells="1">
                  <from>
                    <xdr:col>2</xdr:col>
                    <xdr:colOff>1333500</xdr:colOff>
                    <xdr:row>0</xdr:row>
                    <xdr:rowOff>114300</xdr:rowOff>
                  </from>
                  <to>
                    <xdr:col>2</xdr:col>
                    <xdr:colOff>2362200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Button 19">
              <controlPr defaultSize="0" print="0" autoFill="0" autoPict="0" macro="[0]!HouseholdLaundry">
                <anchor moveWithCells="1" sizeWithCells="1">
                  <from>
                    <xdr:col>2</xdr:col>
                    <xdr:colOff>1358900</xdr:colOff>
                    <xdr:row>0</xdr:row>
                    <xdr:rowOff>368300</xdr:rowOff>
                  </from>
                  <to>
                    <xdr:col>2</xdr:col>
                    <xdr:colOff>2362200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1" name="Button 26">
              <controlPr defaultSize="0" print="0" autoFill="0" autoPict="0" macro="[0]!HomeDepot">
                <anchor moveWithCells="1" sizeWithCells="1">
                  <from>
                    <xdr:col>4</xdr:col>
                    <xdr:colOff>266700</xdr:colOff>
                    <xdr:row>0</xdr:row>
                    <xdr:rowOff>368300</xdr:rowOff>
                  </from>
                  <to>
                    <xdr:col>4</xdr:col>
                    <xdr:colOff>1435100</xdr:colOff>
                    <xdr:row>0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3:P61"/>
  <sheetViews>
    <sheetView showGridLines="0" topLeftCell="F3" zoomScale="60" zoomScaleNormal="60" workbookViewId="0">
      <selection activeCell="I19" sqref="I19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4" max="4" width="41.1640625" customWidth="1"/>
    <col min="5" max="5" width="55.83203125" bestFit="1" customWidth="1"/>
    <col min="6" max="6" width="55.83203125" customWidth="1"/>
    <col min="7" max="7" width="51.1640625" style="60" customWidth="1"/>
    <col min="8" max="8" width="73.83203125" style="1" customWidth="1"/>
    <col min="9" max="9" width="72.5" bestFit="1" customWidth="1"/>
    <col min="10" max="10" width="27" style="73" bestFit="1" customWidth="1"/>
    <col min="11" max="11" width="36" style="14" customWidth="1"/>
    <col min="12" max="12" width="47.1640625" style="75" bestFit="1" customWidth="1"/>
    <col min="13" max="13" width="39.6640625" customWidth="1"/>
    <col min="14" max="14" width="44.5" bestFit="1" customWidth="1"/>
    <col min="15" max="15" width="34.6640625" customWidth="1"/>
  </cols>
  <sheetData>
    <row r="3" spans="1:16" ht="94" customHeight="1" x14ac:dyDescent="0.15">
      <c r="A3" s="109" t="str">
        <f>UPPER((TEXT(DATE(YEAR(N9),MONTH(N9),DAY(N9)),"MMMM")&amp;" "&amp;TEXT(DATE(YEAR(N9),MONTH(N9),DAY(N9)),"YYYY")))</f>
        <v>MAY 2018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1"/>
    </row>
    <row r="8" spans="1:16" ht="37" customHeight="1" x14ac:dyDescent="0.3">
      <c r="B8" s="30" t="s">
        <v>11</v>
      </c>
      <c r="C8" s="30" t="s">
        <v>267</v>
      </c>
      <c r="D8" s="78" t="s">
        <v>265</v>
      </c>
      <c r="E8" s="78" t="s">
        <v>266</v>
      </c>
      <c r="F8" s="31"/>
      <c r="G8" s="53"/>
      <c r="H8" s="33" t="s">
        <v>184</v>
      </c>
      <c r="I8" s="30" t="s">
        <v>10</v>
      </c>
      <c r="J8" s="30" t="s">
        <v>267</v>
      </c>
      <c r="K8" s="71" t="s">
        <v>263</v>
      </c>
      <c r="L8" s="76" t="s">
        <v>264</v>
      </c>
      <c r="M8" s="34"/>
      <c r="N8" s="30" t="s">
        <v>9</v>
      </c>
      <c r="O8" s="30" t="s">
        <v>18</v>
      </c>
    </row>
    <row r="9" spans="1:16" ht="30" x14ac:dyDescent="0.3">
      <c r="B9" s="35" t="s">
        <v>1</v>
      </c>
      <c r="C9" s="70">
        <f t="shared" ref="C9:C14" si="0">SUMIFS(IncomeAmtLog,IncomeCatLog,B9, IncomeDateLog, "&gt;="&amp;TEXT($N$9, "mm-dd-yyyy"),IncomeDateLog, "&lt;="&amp;TEXT($O$9, "mm-dd-yyyy"))</f>
        <v>0</v>
      </c>
      <c r="D9" s="36">
        <v>300</v>
      </c>
      <c r="E9" s="77">
        <f t="shared" ref="E9:E14" si="1">IFERROR(((C9-D9)/D9), "")</f>
        <v>-1</v>
      </c>
      <c r="F9" s="37"/>
      <c r="G9" s="53" t="str">
        <f>"BILLS:  $"&amp;SUM(J9:J15)</f>
        <v>BILLS:  $1462.22</v>
      </c>
      <c r="H9" s="38" t="s">
        <v>173</v>
      </c>
      <c r="I9" s="39" t="str">
        <f>'Personal Category Dropdowns'!C2</f>
        <v>Apartment Insurance (State Farm)</v>
      </c>
      <c r="J9" s="71">
        <f t="shared" ref="J9:J35" si="2">SUMIFS(expenseAmtLog, ExpenseCatLog, I9, expenseDateLog, "&gt;="&amp;TEXT($N$9, "mm-dd-yyyy"),expenseDateLog, "&lt;="&amp;TEXT($O$9, "mm-dd-yyyy"))</f>
        <v>0</v>
      </c>
      <c r="K9" s="36">
        <v>1000</v>
      </c>
      <c r="L9" s="77">
        <f>IFERROR(((J9-K9)/K9), "")</f>
        <v>-1</v>
      </c>
      <c r="M9" s="34"/>
      <c r="N9" s="83">
        <v>41759</v>
      </c>
      <c r="O9" s="40">
        <v>41788</v>
      </c>
      <c r="P9" s="3"/>
    </row>
    <row r="10" spans="1:16" ht="30" x14ac:dyDescent="0.3">
      <c r="B10" s="35" t="s">
        <v>3</v>
      </c>
      <c r="C10" s="70">
        <f t="shared" si="0"/>
        <v>0</v>
      </c>
      <c r="D10" s="36">
        <v>2000</v>
      </c>
      <c r="E10" s="77">
        <f t="shared" si="1"/>
        <v>-1</v>
      </c>
      <c r="F10" s="37"/>
      <c r="G10" s="54"/>
      <c r="H10" s="41" t="s">
        <v>172</v>
      </c>
      <c r="I10" s="39" t="str">
        <f>'Personal Category Dropdowns'!C3</f>
        <v>Cablevision</v>
      </c>
      <c r="J10" s="71">
        <f t="shared" si="2"/>
        <v>169.39</v>
      </c>
      <c r="K10" s="36">
        <v>180</v>
      </c>
      <c r="L10" s="77">
        <f t="shared" ref="L10:L58" si="3">IFERROR(((J10-K10)/K10), "")</f>
        <v>-5.8944444444444521E-2</v>
      </c>
      <c r="M10" s="34"/>
      <c r="N10" s="34"/>
      <c r="O10" s="34"/>
    </row>
    <row r="11" spans="1:16" ht="30" x14ac:dyDescent="0.3">
      <c r="B11" s="35" t="s">
        <v>28</v>
      </c>
      <c r="C11" s="70">
        <f t="shared" si="0"/>
        <v>1697.97</v>
      </c>
      <c r="D11" s="36">
        <v>3800</v>
      </c>
      <c r="E11" s="77">
        <f t="shared" si="1"/>
        <v>-0.55316578947368411</v>
      </c>
      <c r="F11" s="37"/>
      <c r="G11" s="55"/>
      <c r="H11" s="32" t="s">
        <v>174</v>
      </c>
      <c r="I11" s="39" t="str">
        <f>'Personal Category Dropdowns'!C4</f>
        <v>Gas Electric</v>
      </c>
      <c r="J11" s="71">
        <f t="shared" si="2"/>
        <v>195.4</v>
      </c>
      <c r="K11" s="36">
        <v>600</v>
      </c>
      <c r="L11" s="77">
        <f t="shared" si="3"/>
        <v>-0.67433333333333334</v>
      </c>
      <c r="M11" s="34"/>
      <c r="N11" s="34"/>
      <c r="O11" s="34"/>
    </row>
    <row r="12" spans="1:16" ht="30" x14ac:dyDescent="0.3">
      <c r="B12" s="35" t="s">
        <v>4</v>
      </c>
      <c r="C12" s="70">
        <f t="shared" si="0"/>
        <v>928</v>
      </c>
      <c r="D12" s="36">
        <v>950</v>
      </c>
      <c r="E12" s="77">
        <f t="shared" si="1"/>
        <v>-2.3157894736842106E-2</v>
      </c>
      <c r="F12" s="37"/>
      <c r="G12" s="53"/>
      <c r="H12" s="38" t="s">
        <v>174</v>
      </c>
      <c r="I12" s="39" t="str">
        <f>'Personal Category Dropdowns'!C5</f>
        <v>Life Insurance (AARP)</v>
      </c>
      <c r="J12" s="71">
        <f t="shared" si="2"/>
        <v>0</v>
      </c>
      <c r="K12" s="36">
        <v>80</v>
      </c>
      <c r="L12" s="77">
        <f t="shared" si="3"/>
        <v>-1</v>
      </c>
      <c r="M12" s="34"/>
      <c r="N12" s="34"/>
      <c r="O12" s="34"/>
    </row>
    <row r="13" spans="1:16" ht="30" x14ac:dyDescent="0.3">
      <c r="B13" s="42" t="s">
        <v>40</v>
      </c>
      <c r="C13" s="70">
        <f t="shared" si="0"/>
        <v>0.05</v>
      </c>
      <c r="D13" s="36">
        <v>7.0000000000000007E-2</v>
      </c>
      <c r="E13" s="77">
        <f t="shared" si="1"/>
        <v>-0.28571428571428575</v>
      </c>
      <c r="F13" s="37"/>
      <c r="G13" s="53"/>
      <c r="H13" s="38" t="s">
        <v>175</v>
      </c>
      <c r="I13" s="39" t="str">
        <f>'Personal Category Dropdowns'!C6</f>
        <v>Rent</v>
      </c>
      <c r="J13" s="71">
        <f t="shared" si="2"/>
        <v>1000</v>
      </c>
      <c r="K13" s="36">
        <v>30</v>
      </c>
      <c r="L13" s="77">
        <f t="shared" si="3"/>
        <v>32.333333333333336</v>
      </c>
      <c r="M13" s="34"/>
      <c r="N13" s="34"/>
      <c r="O13" s="34"/>
    </row>
    <row r="14" spans="1:16" ht="30" x14ac:dyDescent="0.3">
      <c r="B14" s="68" t="s">
        <v>195</v>
      </c>
      <c r="C14" s="70">
        <f t="shared" si="0"/>
        <v>0</v>
      </c>
      <c r="D14" s="36">
        <v>4</v>
      </c>
      <c r="E14" s="77">
        <f t="shared" si="1"/>
        <v>-1</v>
      </c>
      <c r="F14" s="37"/>
      <c r="G14" s="53"/>
      <c r="H14" s="38" t="s">
        <v>176</v>
      </c>
      <c r="I14" s="39" t="str">
        <f>'Personal Category Dropdowns'!C7</f>
        <v>Storage</v>
      </c>
      <c r="J14" s="71">
        <f t="shared" si="2"/>
        <v>97.43</v>
      </c>
      <c r="K14" s="36"/>
      <c r="L14" s="77" t="str">
        <f t="shared" si="3"/>
        <v/>
      </c>
      <c r="M14" s="34"/>
      <c r="N14" s="34"/>
      <c r="O14" s="34"/>
    </row>
    <row r="15" spans="1:16" ht="30" x14ac:dyDescent="0.3">
      <c r="B15" s="31"/>
      <c r="C15" s="67"/>
      <c r="D15" s="34"/>
      <c r="E15" s="34"/>
      <c r="F15" s="34"/>
      <c r="G15" s="105"/>
      <c r="H15" s="106"/>
      <c r="I15" s="39" t="str">
        <f>'Personal Category Dropdowns'!C8</f>
        <v>Back Blaze</v>
      </c>
      <c r="J15" s="71">
        <f t="shared" si="2"/>
        <v>0</v>
      </c>
      <c r="K15" s="36"/>
      <c r="L15" s="77" t="str">
        <f t="shared" si="3"/>
        <v/>
      </c>
      <c r="M15" s="34"/>
      <c r="N15" s="34"/>
      <c r="O15" s="34"/>
    </row>
    <row r="16" spans="1:16" ht="60" x14ac:dyDescent="0.3">
      <c r="B16" s="34"/>
      <c r="C16" s="34"/>
      <c r="D16" s="34"/>
      <c r="E16" s="34"/>
      <c r="F16" s="34"/>
      <c r="G16" s="57" t="str">
        <f>"HOUSEHOLD:  $"&amp;SUM(J16:J23)</f>
        <v>HOUSEHOLD:  $248.9</v>
      </c>
      <c r="H16" s="44"/>
      <c r="I16" s="45" t="str">
        <f>'Personal Category Dropdowns'!D2</f>
        <v>Cleaning Supplies</v>
      </c>
      <c r="J16" s="71">
        <f t="shared" si="2"/>
        <v>27.349999999999998</v>
      </c>
      <c r="K16" s="36"/>
      <c r="L16" s="77" t="str">
        <f t="shared" si="3"/>
        <v/>
      </c>
      <c r="M16" s="34"/>
      <c r="N16" s="34"/>
      <c r="O16" s="34"/>
    </row>
    <row r="17" spans="2:15" ht="30" x14ac:dyDescent="0.3">
      <c r="B17" s="34"/>
      <c r="C17" s="34"/>
      <c r="D17" s="34"/>
      <c r="E17" s="34"/>
      <c r="F17" s="34"/>
      <c r="G17" s="57"/>
      <c r="H17" s="46"/>
      <c r="I17" s="45" t="str">
        <f>'Personal Category Dropdowns'!D3</f>
        <v>Flowers</v>
      </c>
      <c r="J17" s="71">
        <f t="shared" si="2"/>
        <v>11.99</v>
      </c>
      <c r="K17" s="36"/>
      <c r="L17" s="77" t="str">
        <f t="shared" si="3"/>
        <v/>
      </c>
      <c r="M17" s="34"/>
      <c r="N17" s="34"/>
      <c r="O17" s="34"/>
    </row>
    <row r="18" spans="2:15" ht="30" x14ac:dyDescent="0.3">
      <c r="B18" s="34"/>
      <c r="C18" s="34"/>
      <c r="D18" s="34"/>
      <c r="E18" s="34"/>
      <c r="F18" s="34"/>
      <c r="G18" s="56"/>
      <c r="H18" s="44"/>
      <c r="I18" s="45" t="str">
        <f>'Personal Category Dropdowns'!D4</f>
        <v>Gardening</v>
      </c>
      <c r="J18" s="71">
        <f t="shared" si="2"/>
        <v>90.149999999999991</v>
      </c>
      <c r="K18" s="36"/>
      <c r="L18" s="77" t="str">
        <f t="shared" si="3"/>
        <v/>
      </c>
      <c r="M18" s="34"/>
      <c r="N18" s="34"/>
      <c r="O18" s="34"/>
    </row>
    <row r="19" spans="2:15" ht="30" x14ac:dyDescent="0.3">
      <c r="B19" s="34"/>
      <c r="C19" s="34"/>
      <c r="D19" s="34"/>
      <c r="E19" s="34"/>
      <c r="F19" s="34"/>
      <c r="G19" s="56"/>
      <c r="H19" s="44"/>
      <c r="I19" s="45" t="str">
        <f>'Personal Category Dropdowns'!D5</f>
        <v>Household Furnishings</v>
      </c>
      <c r="J19" s="71">
        <f t="shared" si="2"/>
        <v>21.98</v>
      </c>
      <c r="K19" s="36"/>
      <c r="L19" s="77" t="str">
        <f t="shared" si="3"/>
        <v/>
      </c>
      <c r="M19" s="34"/>
      <c r="N19" s="34"/>
      <c r="O19" s="34"/>
    </row>
    <row r="20" spans="2:15" ht="30" x14ac:dyDescent="0.3">
      <c r="D20" s="34"/>
      <c r="E20" s="34"/>
      <c r="F20" s="34"/>
      <c r="G20" s="56"/>
      <c r="H20" s="44"/>
      <c r="I20" s="45" t="str">
        <f>'Personal Category Dropdowns'!D6</f>
        <v>Housekeeper</v>
      </c>
      <c r="J20" s="71">
        <f t="shared" si="2"/>
        <v>0</v>
      </c>
      <c r="K20" s="36"/>
      <c r="L20" s="77" t="str">
        <f t="shared" si="3"/>
        <v/>
      </c>
      <c r="M20" s="34"/>
      <c r="N20" s="34"/>
      <c r="O20" s="34"/>
    </row>
    <row r="21" spans="2:15" ht="30" x14ac:dyDescent="0.3">
      <c r="D21" s="34"/>
      <c r="E21" s="34"/>
      <c r="F21" s="34"/>
      <c r="G21" s="56"/>
      <c r="H21" s="44"/>
      <c r="I21" s="45" t="str">
        <f>'Personal Category Dropdowns'!D7</f>
        <v>Laundry</v>
      </c>
      <c r="J21" s="71">
        <f t="shared" si="2"/>
        <v>24</v>
      </c>
      <c r="K21" s="36"/>
      <c r="L21" s="77" t="str">
        <f t="shared" si="3"/>
        <v/>
      </c>
      <c r="M21" s="34"/>
    </row>
    <row r="22" spans="2:15" ht="30" x14ac:dyDescent="0.3">
      <c r="D22" s="34"/>
      <c r="E22" s="34"/>
      <c r="F22" s="34"/>
      <c r="G22" s="56"/>
      <c r="H22" s="44"/>
      <c r="I22" s="45" t="str">
        <f>'Personal Category Dropdowns'!D8</f>
        <v>Lucille Metheny</v>
      </c>
      <c r="J22" s="71">
        <f>SUMIFS(expenseAmtLog, ExpenseCatLog, I22, expenseDateLog, "&gt;="&amp;TEXT($N$9, "mm-dd-yyyy"),expenseDateLog, "&lt;="&amp;TEXT($O$9, "mm-dd-yyyy"))</f>
        <v>73.430000000000007</v>
      </c>
      <c r="K22" s="36"/>
      <c r="L22" s="77" t="str">
        <f t="shared" si="3"/>
        <v/>
      </c>
      <c r="M22" s="34"/>
    </row>
    <row r="23" spans="2:15" ht="30" x14ac:dyDescent="0.3">
      <c r="B23" s="34"/>
      <c r="C23" s="63"/>
      <c r="D23" s="34"/>
      <c r="E23" s="34"/>
      <c r="F23" s="34"/>
      <c r="G23" s="56"/>
      <c r="H23" s="44"/>
      <c r="I23" s="45" t="str">
        <f>'Personal Category Dropdowns'!D9</f>
        <v>Maintenance Repair</v>
      </c>
      <c r="J23" s="71">
        <f t="shared" si="2"/>
        <v>0</v>
      </c>
      <c r="K23" s="36"/>
      <c r="L23" s="77" t="str">
        <f t="shared" si="3"/>
        <v/>
      </c>
      <c r="M23" s="34"/>
    </row>
    <row r="24" spans="2:15" ht="30" x14ac:dyDescent="0.3">
      <c r="B24" s="48" t="s">
        <v>54</v>
      </c>
      <c r="C24" s="36">
        <f>SUM(C9:C14)</f>
        <v>2626.0200000000004</v>
      </c>
      <c r="D24" s="34"/>
      <c r="E24" s="34"/>
      <c r="F24" s="34"/>
      <c r="G24" s="53" t="str">
        <f>"CREDIT CARDS:  $"&amp;SUM(J24:J26)</f>
        <v>CREDIT CARDS:  $0</v>
      </c>
      <c r="H24" s="32"/>
      <c r="I24" s="39" t="str">
        <f>'Personal Category Dropdowns'!E2</f>
        <v>Amazon v5475</v>
      </c>
      <c r="J24" s="71">
        <f t="shared" si="2"/>
        <v>0</v>
      </c>
      <c r="K24" s="36"/>
      <c r="L24" s="77" t="str">
        <f t="shared" si="3"/>
        <v/>
      </c>
      <c r="M24" s="34"/>
      <c r="N24" s="34"/>
      <c r="O24" s="34"/>
    </row>
    <row r="25" spans="2:15" ht="30" x14ac:dyDescent="0.3">
      <c r="B25" s="48" t="s">
        <v>55</v>
      </c>
      <c r="C25" s="36">
        <f>SUM(J9:J1048576)</f>
        <v>2104.13</v>
      </c>
      <c r="D25" s="34"/>
      <c r="E25" s="34"/>
      <c r="F25" s="34"/>
      <c r="G25" s="53"/>
      <c r="H25" s="32"/>
      <c r="I25" s="39" t="str">
        <f>'Personal Category Dropdowns'!E3</f>
        <v>Home Depot - 3655</v>
      </c>
      <c r="J25" s="71">
        <f t="shared" si="2"/>
        <v>0</v>
      </c>
      <c r="K25" s="36"/>
      <c r="L25" s="77" t="str">
        <f t="shared" si="3"/>
        <v/>
      </c>
      <c r="M25" s="34"/>
      <c r="N25" s="34"/>
      <c r="O25" s="34"/>
    </row>
    <row r="26" spans="2:15" ht="30" x14ac:dyDescent="0.3">
      <c r="B26" s="48" t="s">
        <v>56</v>
      </c>
      <c r="C26" s="43">
        <f>C24-C25</f>
        <v>521.89000000000033</v>
      </c>
      <c r="D26" s="34"/>
      <c r="E26" s="34"/>
      <c r="F26" s="34"/>
      <c r="G26" s="53"/>
      <c r="H26" s="32"/>
      <c r="I26" s="39" t="str">
        <f>'Personal Category Dropdowns'!E4</f>
        <v>Bank Fees</v>
      </c>
      <c r="J26" s="71">
        <f t="shared" si="2"/>
        <v>0</v>
      </c>
      <c r="K26" s="36"/>
      <c r="L26" s="77" t="str">
        <f t="shared" si="3"/>
        <v/>
      </c>
      <c r="M26" s="34"/>
      <c r="N26" s="34"/>
      <c r="O26" s="34"/>
    </row>
    <row r="27" spans="2:15" ht="30" x14ac:dyDescent="0.3">
      <c r="B27" s="34"/>
      <c r="C27" s="34"/>
      <c r="D27" s="34"/>
      <c r="E27" s="34"/>
      <c r="F27" s="34"/>
      <c r="G27" s="56" t="str">
        <f>"FOOD:  $"&amp;SUM(J27:J29)</f>
        <v>FOOD:  $218.35</v>
      </c>
      <c r="H27" s="44"/>
      <c r="I27" s="47" t="str">
        <f>'Personal Category Dropdowns'!F2</f>
        <v>Food Out</v>
      </c>
      <c r="J27" s="71">
        <f t="shared" si="2"/>
        <v>98.66</v>
      </c>
      <c r="K27" s="36"/>
      <c r="L27" s="77" t="str">
        <f t="shared" si="3"/>
        <v/>
      </c>
      <c r="M27" s="34"/>
      <c r="N27" s="34"/>
      <c r="O27" s="34"/>
    </row>
    <row r="28" spans="2:15" ht="30" x14ac:dyDescent="0.3">
      <c r="B28" s="34"/>
      <c r="C28" s="34"/>
      <c r="D28" s="34"/>
      <c r="E28" s="34"/>
      <c r="F28" s="34"/>
      <c r="G28" s="56"/>
      <c r="H28" s="44"/>
      <c r="I28" s="47" t="str">
        <f>'Personal Category Dropdowns'!F3</f>
        <v>Grocery Store</v>
      </c>
      <c r="J28" s="71">
        <f t="shared" si="2"/>
        <v>119.69</v>
      </c>
      <c r="K28" s="36"/>
      <c r="L28" s="77" t="str">
        <f t="shared" si="3"/>
        <v/>
      </c>
      <c r="M28" s="34"/>
      <c r="N28" s="34"/>
      <c r="O28" s="34"/>
    </row>
    <row r="29" spans="2:15" ht="30" x14ac:dyDescent="0.3">
      <c r="B29" s="34"/>
      <c r="C29" s="34"/>
      <c r="D29" s="34"/>
      <c r="E29" s="34"/>
      <c r="F29" s="34"/>
      <c r="G29" s="56"/>
      <c r="H29" s="44"/>
      <c r="I29" s="47" t="str">
        <f>'Personal Category Dropdowns'!F4</f>
        <v>Wine</v>
      </c>
      <c r="J29" s="71">
        <f t="shared" si="2"/>
        <v>0</v>
      </c>
      <c r="K29" s="36"/>
      <c r="L29" s="77" t="str">
        <f t="shared" si="3"/>
        <v/>
      </c>
      <c r="M29" s="34"/>
      <c r="N29" s="34"/>
      <c r="O29" s="34"/>
    </row>
    <row r="30" spans="2:15" ht="60" x14ac:dyDescent="0.3">
      <c r="B30" s="34"/>
      <c r="C30" s="34"/>
      <c r="D30" s="34"/>
      <c r="E30" s="34"/>
      <c r="F30" s="34"/>
      <c r="G30" s="53" t="str">
        <f>"TRANSPORT:  $"&amp;SUM(J30:J33)</f>
        <v>TRANSPORT:  $82.27</v>
      </c>
      <c r="H30" s="38"/>
      <c r="I30" s="39" t="str">
        <f>'Personal Category Dropdowns'!G2</f>
        <v>Car Rental</v>
      </c>
      <c r="J30" s="71">
        <f t="shared" si="2"/>
        <v>0</v>
      </c>
      <c r="K30" s="36"/>
      <c r="L30" s="77" t="str">
        <f t="shared" si="3"/>
        <v/>
      </c>
      <c r="M30" s="34"/>
      <c r="N30" s="34"/>
      <c r="O30" s="34"/>
    </row>
    <row r="31" spans="2:15" ht="30" x14ac:dyDescent="0.3">
      <c r="B31" s="34"/>
      <c r="C31" s="34"/>
      <c r="D31" s="34"/>
      <c r="E31" s="34"/>
      <c r="F31" s="34"/>
      <c r="G31" s="53"/>
      <c r="H31" s="38"/>
      <c r="I31" s="39" t="str">
        <f>'Personal Category Dropdowns'!G3</f>
        <v>Public Transit</v>
      </c>
      <c r="J31" s="71">
        <f t="shared" si="2"/>
        <v>42.95</v>
      </c>
      <c r="K31" s="36"/>
      <c r="L31" s="77" t="str">
        <f t="shared" si="3"/>
        <v/>
      </c>
      <c r="M31" s="34"/>
      <c r="N31" s="34"/>
      <c r="O31" s="34"/>
    </row>
    <row r="32" spans="2:15" ht="30" x14ac:dyDescent="0.3">
      <c r="B32" s="34"/>
      <c r="C32" s="34"/>
      <c r="D32" s="34"/>
      <c r="E32" s="34"/>
      <c r="F32" s="34"/>
      <c r="G32" s="53"/>
      <c r="H32" s="38"/>
      <c r="I32" s="39" t="str">
        <f>'Personal Category Dropdowns'!G4</f>
        <v>Taxi</v>
      </c>
      <c r="J32" s="71">
        <f t="shared" si="2"/>
        <v>39.32</v>
      </c>
      <c r="K32" s="36"/>
      <c r="L32" s="77" t="str">
        <f t="shared" si="3"/>
        <v/>
      </c>
      <c r="M32" s="34"/>
      <c r="N32" s="34"/>
      <c r="O32" s="34"/>
    </row>
    <row r="33" spans="2:15" ht="30" x14ac:dyDescent="0.3">
      <c r="B33" s="34"/>
      <c r="C33" s="34"/>
      <c r="D33" s="34"/>
      <c r="E33" s="34"/>
      <c r="F33" s="34"/>
      <c r="G33" s="53"/>
      <c r="H33" s="38"/>
      <c r="I33" s="39" t="str">
        <f>'Personal Category Dropdowns'!G5</f>
        <v>Travel</v>
      </c>
      <c r="J33" s="71">
        <f t="shared" si="2"/>
        <v>0</v>
      </c>
      <c r="K33" s="36"/>
      <c r="L33" s="77" t="str">
        <f t="shared" si="3"/>
        <v/>
      </c>
      <c r="M33" s="34"/>
      <c r="N33" s="34"/>
      <c r="O33" s="34"/>
    </row>
    <row r="34" spans="2:15" ht="30" x14ac:dyDescent="0.3">
      <c r="B34" s="34"/>
      <c r="C34" s="34"/>
      <c r="D34" s="34"/>
      <c r="E34" s="34"/>
      <c r="F34" s="34"/>
      <c r="G34" s="56" t="str">
        <f>"SELF CARE:  $"&amp;SUM(J34:J38)</f>
        <v>SELF CARE:  $53.98</v>
      </c>
      <c r="H34" s="44"/>
      <c r="I34" s="45" t="str">
        <f>'Personal Category Dropdowns'!H2</f>
        <v>Accessories</v>
      </c>
      <c r="J34" s="71">
        <f t="shared" si="2"/>
        <v>0</v>
      </c>
      <c r="K34" s="36"/>
      <c r="L34" s="77" t="str">
        <f t="shared" si="3"/>
        <v/>
      </c>
      <c r="M34" s="34"/>
      <c r="N34" s="34"/>
      <c r="O34" s="34"/>
    </row>
    <row r="35" spans="2:15" ht="30" x14ac:dyDescent="0.3">
      <c r="B35" s="34"/>
      <c r="C35" s="34"/>
      <c r="D35" s="34"/>
      <c r="E35" s="34"/>
      <c r="F35" s="34"/>
      <c r="G35" s="56"/>
      <c r="H35" s="44"/>
      <c r="I35" s="45" t="str">
        <f>'Personal Category Dropdowns'!H3</f>
        <v>Body Care</v>
      </c>
      <c r="J35" s="71">
        <f t="shared" si="2"/>
        <v>53.980000000000004</v>
      </c>
      <c r="K35" s="36"/>
      <c r="L35" s="77" t="str">
        <f t="shared" si="3"/>
        <v/>
      </c>
      <c r="M35" s="34"/>
      <c r="N35" s="34"/>
      <c r="O35" s="34"/>
    </row>
    <row r="36" spans="2:15" ht="30" x14ac:dyDescent="0.3">
      <c r="B36" s="34"/>
      <c r="C36" s="34"/>
      <c r="D36" s="34"/>
      <c r="E36" s="34"/>
      <c r="F36" s="34"/>
      <c r="G36" s="56"/>
      <c r="H36" s="44"/>
      <c r="I36" s="45" t="str">
        <f>'Personal Category Dropdowns'!H4</f>
        <v>Clothes</v>
      </c>
      <c r="J36" s="71">
        <f t="shared" ref="J36:J58" si="4">SUMIFS(expenseAmtLog, ExpenseCatLog, I36, expenseDateLog, "&gt;="&amp;TEXT($N$9, "mm-dd-yyyy"),expenseDateLog, "&lt;="&amp;TEXT($O$9, "mm-dd-yyyy"))</f>
        <v>0</v>
      </c>
      <c r="K36" s="36"/>
      <c r="L36" s="77" t="str">
        <f t="shared" si="3"/>
        <v/>
      </c>
      <c r="M36" s="34"/>
      <c r="N36" s="34"/>
      <c r="O36" s="34"/>
    </row>
    <row r="37" spans="2:15" ht="30" x14ac:dyDescent="0.3">
      <c r="B37" s="34"/>
      <c r="C37" s="34"/>
      <c r="D37" s="34"/>
      <c r="E37" s="34"/>
      <c r="F37" s="34"/>
      <c r="G37" s="56"/>
      <c r="H37" s="44"/>
      <c r="I37" s="45" t="str">
        <f>'Personal Category Dropdowns'!H5</f>
        <v>Entertainment Subscription</v>
      </c>
      <c r="J37" s="71">
        <f t="shared" si="4"/>
        <v>0</v>
      </c>
      <c r="K37" s="36"/>
      <c r="L37" s="77" t="str">
        <f t="shared" si="3"/>
        <v/>
      </c>
      <c r="M37" s="34"/>
      <c r="N37" s="34"/>
      <c r="O37" s="34"/>
    </row>
    <row r="38" spans="2:15" ht="30" x14ac:dyDescent="0.3">
      <c r="B38" s="34"/>
      <c r="C38" s="34"/>
      <c r="D38" s="34"/>
      <c r="E38" s="34"/>
      <c r="F38" s="34"/>
      <c r="G38" s="56"/>
      <c r="H38" s="44"/>
      <c r="I38" s="45" t="str">
        <f>'Personal Category Dropdowns'!H6</f>
        <v>Yoga/Gym</v>
      </c>
      <c r="J38" s="71">
        <f>SUMIFS(expenseAmtLog, ExpenseCatLog,#REF!, expenseDateLog, "&gt;="&amp;TEXT($N$9, "mm-dd-yyyy"),expenseDateLog, "&lt;="&amp;TEXT($O$9, "mm-dd-yyyy"))</f>
        <v>0</v>
      </c>
      <c r="K38" s="36"/>
      <c r="L38" s="77" t="str">
        <f t="shared" si="3"/>
        <v/>
      </c>
      <c r="M38" s="34"/>
      <c r="N38" s="34"/>
      <c r="O38" s="34"/>
    </row>
    <row r="39" spans="2:15" ht="30" x14ac:dyDescent="0.3">
      <c r="B39" s="34"/>
      <c r="C39" s="34"/>
      <c r="D39" s="34"/>
      <c r="E39" s="34"/>
      <c r="F39" s="34"/>
      <c r="G39" s="105" t="str">
        <f>"DEBTS:  $"&amp;SUM(J39:J40)</f>
        <v>DEBTS:  $0</v>
      </c>
      <c r="H39" s="106"/>
      <c r="I39" s="34" t="str">
        <f>'Personal Category Dropdowns'!I2</f>
        <v>Fred Henry</v>
      </c>
      <c r="J39" s="71">
        <f>SUMIFS(expenseAmtLog, ExpenseCatLog, I38, expenseDateLog, "&gt;="&amp;TEXT($N$9, "mm-dd-yyyy"),expenseDateLog, "&lt;="&amp;TEXT($O$9, "mm-dd-yyyy"))</f>
        <v>0</v>
      </c>
      <c r="K39" s="36"/>
      <c r="L39" s="77" t="str">
        <f t="shared" si="3"/>
        <v/>
      </c>
      <c r="M39" s="34"/>
      <c r="N39" s="34"/>
      <c r="O39" s="34"/>
    </row>
    <row r="40" spans="2:15" ht="30" x14ac:dyDescent="0.3">
      <c r="B40" s="34"/>
      <c r="C40" s="34"/>
      <c r="D40" s="34"/>
      <c r="E40" s="34"/>
      <c r="F40" s="34"/>
      <c r="G40" s="105"/>
      <c r="H40" s="106"/>
      <c r="I40" s="34" t="str">
        <f>'Personal Category Dropdowns'!I3</f>
        <v>Robert Rich</v>
      </c>
      <c r="J40" s="71">
        <f t="shared" si="4"/>
        <v>0</v>
      </c>
      <c r="K40" s="36"/>
      <c r="L40" s="77" t="str">
        <f t="shared" si="3"/>
        <v/>
      </c>
      <c r="M40" s="34"/>
      <c r="N40" s="34"/>
      <c r="O40" s="34"/>
    </row>
    <row r="41" spans="2:15" ht="30" x14ac:dyDescent="0.3">
      <c r="B41" s="34"/>
      <c r="C41" s="34"/>
      <c r="D41" s="34"/>
      <c r="E41" s="34"/>
      <c r="F41" s="34"/>
      <c r="G41" s="108" t="str">
        <f>"TAX DEDUCTIBLE:  $"&amp;SUM(J41:J47)</f>
        <v>TAX DEDUCTIBLE:  $38.41</v>
      </c>
      <c r="H41" s="50"/>
      <c r="I41" s="51" t="str">
        <f>'Personal Category Dropdowns'!J2</f>
        <v>Donations</v>
      </c>
      <c r="J41" s="71">
        <f t="shared" si="4"/>
        <v>6</v>
      </c>
      <c r="K41" s="36"/>
      <c r="L41" s="77" t="str">
        <f t="shared" si="3"/>
        <v/>
      </c>
      <c r="M41" s="34"/>
      <c r="N41" s="34"/>
      <c r="O41" s="34"/>
    </row>
    <row r="42" spans="2:15" ht="30" x14ac:dyDescent="0.3">
      <c r="B42" s="34"/>
      <c r="C42" s="34"/>
      <c r="D42" s="34"/>
      <c r="E42" s="34"/>
      <c r="F42" s="34"/>
      <c r="G42" s="58"/>
      <c r="H42" s="50"/>
      <c r="I42" s="51" t="str">
        <f>'Personal Category Dropdowns'!J3</f>
        <v>Gift</v>
      </c>
      <c r="J42" s="71">
        <f t="shared" si="4"/>
        <v>0</v>
      </c>
      <c r="K42" s="36"/>
      <c r="L42" s="77" t="str">
        <f t="shared" si="3"/>
        <v/>
      </c>
      <c r="M42" s="34"/>
      <c r="N42" s="34"/>
      <c r="O42" s="34"/>
    </row>
    <row r="43" spans="2:15" ht="30" x14ac:dyDescent="0.3">
      <c r="B43" s="34"/>
      <c r="C43" s="34"/>
      <c r="D43" s="34"/>
      <c r="E43" s="34"/>
      <c r="F43" s="34"/>
      <c r="G43" s="58"/>
      <c r="H43" s="50"/>
      <c r="I43" s="51" t="str">
        <f>'Personal Category Dropdowns'!J4</f>
        <v>Long Term Health Care</v>
      </c>
      <c r="J43" s="71">
        <f t="shared" si="4"/>
        <v>0</v>
      </c>
      <c r="K43" s="36"/>
      <c r="L43" s="77" t="str">
        <f t="shared" si="3"/>
        <v/>
      </c>
      <c r="M43" s="34"/>
      <c r="N43" s="34"/>
      <c r="O43" s="34"/>
    </row>
    <row r="44" spans="2:15" ht="30" x14ac:dyDescent="0.3">
      <c r="B44" s="34"/>
      <c r="C44" s="34"/>
      <c r="D44" s="34"/>
      <c r="E44" s="34"/>
      <c r="F44" s="34"/>
      <c r="G44" s="58"/>
      <c r="H44" s="50"/>
      <c r="I44" s="51" t="str">
        <f>'Personal Category Dropdowns'!J5</f>
        <v>Medical</v>
      </c>
      <c r="J44" s="71">
        <f t="shared" si="4"/>
        <v>0</v>
      </c>
      <c r="K44" s="36"/>
      <c r="L44" s="77" t="str">
        <f t="shared" si="3"/>
        <v/>
      </c>
      <c r="M44" s="34"/>
      <c r="N44" s="34"/>
      <c r="O44" s="34"/>
    </row>
    <row r="45" spans="2:15" ht="30" x14ac:dyDescent="0.3">
      <c r="B45" s="34"/>
      <c r="C45" s="34"/>
      <c r="D45" s="34"/>
      <c r="E45" s="34"/>
      <c r="F45" s="34"/>
      <c r="G45" s="58"/>
      <c r="H45" s="50"/>
      <c r="I45" s="51" t="str">
        <f>'Personal Category Dropdowns'!J6</f>
        <v>Over the counter (OTC)</v>
      </c>
      <c r="J45" s="71">
        <f t="shared" si="4"/>
        <v>32.409999999999997</v>
      </c>
      <c r="K45" s="36"/>
      <c r="L45" s="77" t="str">
        <f t="shared" si="3"/>
        <v/>
      </c>
      <c r="M45" s="34"/>
      <c r="N45" s="34"/>
      <c r="O45" s="34"/>
    </row>
    <row r="46" spans="2:15" ht="30" x14ac:dyDescent="0.3">
      <c r="B46" s="34"/>
      <c r="C46" s="34"/>
      <c r="D46" s="34"/>
      <c r="E46" s="34"/>
      <c r="F46" s="34"/>
      <c r="G46" s="59"/>
      <c r="H46" s="52"/>
      <c r="I46" s="51" t="str">
        <f>'Personal Category Dropdowns'!J7</f>
        <v>Parsons</v>
      </c>
      <c r="J46" s="71">
        <f t="shared" si="4"/>
        <v>0</v>
      </c>
      <c r="K46" s="36"/>
      <c r="L46" s="77" t="str">
        <f t="shared" si="3"/>
        <v/>
      </c>
      <c r="M46" s="34"/>
      <c r="N46" s="34"/>
      <c r="O46" s="34"/>
    </row>
    <row r="47" spans="2:15" ht="30" x14ac:dyDescent="0.3">
      <c r="B47" s="34"/>
      <c r="C47" s="34"/>
      <c r="D47" s="34"/>
      <c r="E47" s="34"/>
      <c r="F47" s="34"/>
      <c r="G47" s="58"/>
      <c r="H47" s="50"/>
      <c r="I47" s="51" t="str">
        <f>'Personal Category Dropdowns'!J8</f>
        <v>United Health Insurance</v>
      </c>
      <c r="J47" s="71">
        <f t="shared" si="4"/>
        <v>0</v>
      </c>
      <c r="K47" s="36"/>
      <c r="L47" s="77" t="str">
        <f t="shared" si="3"/>
        <v/>
      </c>
      <c r="M47" s="34"/>
      <c r="N47" s="34"/>
      <c r="O47" s="34"/>
    </row>
    <row r="48" spans="2:15" ht="30" x14ac:dyDescent="0.3">
      <c r="B48" s="34"/>
      <c r="C48" s="34"/>
      <c r="D48" s="34"/>
      <c r="E48" s="34"/>
      <c r="F48" s="34"/>
      <c r="G48" s="105" t="str">
        <f>"TAXES:  $"&amp;SUM(J48:J50)</f>
        <v>TAXES:  $0</v>
      </c>
      <c r="H48" s="106"/>
      <c r="I48" s="49" t="str">
        <f>'Personal Category Dropdowns'!K2</f>
        <v>Federal Taxes</v>
      </c>
      <c r="J48" s="71">
        <f t="shared" si="4"/>
        <v>0</v>
      </c>
      <c r="K48" s="36"/>
      <c r="L48" s="77" t="str">
        <f t="shared" si="3"/>
        <v/>
      </c>
      <c r="M48" s="34"/>
      <c r="N48" s="34"/>
      <c r="O48" s="34"/>
    </row>
    <row r="49" spans="2:15" ht="30" x14ac:dyDescent="0.3">
      <c r="B49" s="34"/>
      <c r="C49" s="34"/>
      <c r="D49" s="34"/>
      <c r="E49" s="34"/>
      <c r="F49" s="34"/>
      <c r="G49" s="105"/>
      <c r="H49" s="106"/>
      <c r="I49" s="49" t="str">
        <f>'Personal Category Dropdowns'!K3</f>
        <v>New Jersey State Tax</v>
      </c>
      <c r="J49" s="71">
        <f t="shared" si="4"/>
        <v>0</v>
      </c>
      <c r="K49" s="36"/>
      <c r="L49" s="77" t="str">
        <f t="shared" si="3"/>
        <v/>
      </c>
      <c r="M49" s="34"/>
      <c r="N49" s="34"/>
      <c r="O49" s="34"/>
    </row>
    <row r="50" spans="2:15" ht="30" x14ac:dyDescent="0.3">
      <c r="B50" s="34"/>
      <c r="C50" s="34"/>
      <c r="D50" s="34"/>
      <c r="E50" s="34"/>
      <c r="F50" s="34"/>
      <c r="G50" s="105"/>
      <c r="H50" s="106"/>
      <c r="I50" s="49" t="str">
        <f>'Personal Category Dropdowns'!K4</f>
        <v>New York State Tax</v>
      </c>
      <c r="J50" s="71">
        <f t="shared" si="4"/>
        <v>0</v>
      </c>
      <c r="K50" s="36"/>
      <c r="L50" s="77" t="str">
        <f t="shared" si="3"/>
        <v/>
      </c>
      <c r="M50" s="34"/>
      <c r="N50" s="34"/>
      <c r="O50" s="34"/>
    </row>
    <row r="51" spans="2:15" ht="60" x14ac:dyDescent="0.3">
      <c r="B51" s="34"/>
      <c r="C51" s="34"/>
      <c r="D51" s="34"/>
      <c r="E51" s="34"/>
      <c r="F51" s="34"/>
      <c r="G51" s="58" t="str">
        <f>"ENTERTAINMENT:  $"&amp;SUM(J51:J52)</f>
        <v>ENTERTAINMENT:  $0</v>
      </c>
      <c r="H51" s="50"/>
      <c r="I51" s="51" t="str">
        <f>'Personal Category Dropdowns'!L2</f>
        <v>Movies</v>
      </c>
      <c r="J51" s="71">
        <f t="shared" si="4"/>
        <v>0</v>
      </c>
      <c r="K51" s="36"/>
      <c r="L51" s="77" t="str">
        <f t="shared" si="3"/>
        <v/>
      </c>
      <c r="M51" s="34"/>
      <c r="N51" s="34"/>
      <c r="O51" s="34"/>
    </row>
    <row r="52" spans="2:15" ht="30" x14ac:dyDescent="0.3">
      <c r="B52" s="34"/>
      <c r="C52" s="34"/>
      <c r="D52" s="34"/>
      <c r="E52" s="34"/>
      <c r="F52" s="34"/>
      <c r="G52" s="58"/>
      <c r="H52" s="50"/>
      <c r="I52" s="51" t="str">
        <f>'Personal Category Dropdowns'!L3</f>
        <v>Personal Subscriptions</v>
      </c>
      <c r="J52" s="71">
        <f t="shared" si="4"/>
        <v>0</v>
      </c>
      <c r="K52" s="36"/>
      <c r="L52" s="77" t="str">
        <f t="shared" si="3"/>
        <v/>
      </c>
      <c r="M52" s="34"/>
      <c r="N52" s="34"/>
      <c r="O52" s="34"/>
    </row>
    <row r="53" spans="2:15" ht="30" x14ac:dyDescent="0.3">
      <c r="B53" s="34"/>
      <c r="C53" s="34"/>
      <c r="D53" s="34"/>
      <c r="E53" s="34"/>
      <c r="F53" s="34"/>
      <c r="G53" s="58"/>
      <c r="H53" s="50"/>
      <c r="I53" s="51"/>
      <c r="J53" s="71">
        <f t="shared" si="4"/>
        <v>0</v>
      </c>
      <c r="K53" s="36"/>
      <c r="L53" s="77" t="str">
        <f t="shared" si="3"/>
        <v/>
      </c>
      <c r="M53" s="34"/>
      <c r="N53" s="34"/>
      <c r="O53" s="34"/>
    </row>
    <row r="54" spans="2:15" ht="30" x14ac:dyDescent="0.3">
      <c r="B54" s="34"/>
      <c r="C54" s="34"/>
      <c r="D54" s="34"/>
      <c r="E54" s="34"/>
      <c r="F54" s="34"/>
      <c r="G54" s="58"/>
      <c r="H54" s="50"/>
      <c r="I54" s="51"/>
      <c r="J54" s="71">
        <f t="shared" si="4"/>
        <v>0</v>
      </c>
      <c r="K54" s="36"/>
      <c r="L54" s="77" t="str">
        <f t="shared" si="3"/>
        <v/>
      </c>
      <c r="M54" s="34"/>
      <c r="N54" s="34"/>
      <c r="O54" s="34"/>
    </row>
    <row r="55" spans="2:15" ht="30" x14ac:dyDescent="0.3">
      <c r="B55" s="34"/>
      <c r="C55" s="34"/>
      <c r="D55" s="34"/>
      <c r="E55" s="34"/>
      <c r="F55" s="34"/>
      <c r="G55" s="58"/>
      <c r="H55" s="50"/>
      <c r="I55" s="51"/>
      <c r="J55" s="71">
        <f t="shared" si="4"/>
        <v>0</v>
      </c>
      <c r="K55" s="36"/>
      <c r="L55" s="77" t="str">
        <f t="shared" si="3"/>
        <v/>
      </c>
      <c r="M55" s="34"/>
      <c r="N55" s="34"/>
      <c r="O55" s="34"/>
    </row>
    <row r="56" spans="2:15" ht="30" x14ac:dyDescent="0.3">
      <c r="B56" s="34"/>
      <c r="C56" s="34"/>
      <c r="D56" s="34"/>
      <c r="E56" s="34"/>
      <c r="F56" s="34"/>
      <c r="G56" s="53"/>
      <c r="H56" s="38"/>
      <c r="I56" s="49"/>
      <c r="J56" s="71">
        <f t="shared" si="4"/>
        <v>0</v>
      </c>
      <c r="K56" s="36"/>
      <c r="L56" s="77" t="str">
        <f t="shared" si="3"/>
        <v/>
      </c>
      <c r="M56" s="34"/>
      <c r="N56" s="34"/>
      <c r="O56" s="34"/>
    </row>
    <row r="57" spans="2:15" ht="30" x14ac:dyDescent="0.3">
      <c r="B57" s="34"/>
      <c r="C57" s="34"/>
      <c r="D57" s="34"/>
      <c r="E57" s="34"/>
      <c r="F57" s="34"/>
      <c r="G57" s="53"/>
      <c r="H57" s="38"/>
      <c r="I57" s="49"/>
      <c r="J57" s="71">
        <f t="shared" si="4"/>
        <v>0</v>
      </c>
      <c r="K57" s="36"/>
      <c r="L57" s="77" t="str">
        <f t="shared" si="3"/>
        <v/>
      </c>
      <c r="M57" s="34"/>
      <c r="N57" s="34"/>
      <c r="O57" s="34"/>
    </row>
    <row r="58" spans="2:15" ht="30" x14ac:dyDescent="0.3">
      <c r="B58" s="34"/>
      <c r="C58" s="34"/>
      <c r="D58" s="34"/>
      <c r="E58" s="34"/>
      <c r="F58" s="34"/>
      <c r="G58" s="53"/>
      <c r="H58" s="38"/>
      <c r="I58" s="49"/>
      <c r="J58" s="71">
        <f t="shared" si="4"/>
        <v>0</v>
      </c>
      <c r="K58" s="36"/>
      <c r="L58" s="77" t="str">
        <f t="shared" si="3"/>
        <v/>
      </c>
      <c r="M58" s="34"/>
      <c r="N58" s="34"/>
      <c r="O58" s="34"/>
    </row>
    <row r="59" spans="2:15" ht="30" x14ac:dyDescent="0.3">
      <c r="B59" s="34"/>
      <c r="C59" s="34"/>
      <c r="D59" s="34"/>
      <c r="E59" s="34"/>
      <c r="F59" s="34"/>
      <c r="G59" s="53"/>
      <c r="H59" s="32"/>
      <c r="I59" s="34"/>
      <c r="J59" s="72"/>
      <c r="K59" s="63"/>
      <c r="L59" s="74"/>
      <c r="M59" s="34"/>
      <c r="N59" s="34"/>
      <c r="O59" s="34"/>
    </row>
    <row r="60" spans="2:15" ht="30" x14ac:dyDescent="0.3">
      <c r="B60" s="34"/>
      <c r="C60" s="34"/>
      <c r="D60" s="34"/>
      <c r="E60" s="34"/>
      <c r="F60" s="34"/>
      <c r="G60" s="64"/>
      <c r="H60" s="65"/>
      <c r="I60" s="66"/>
      <c r="J60" s="31"/>
      <c r="K60" s="63"/>
      <c r="L60" s="74"/>
      <c r="M60" s="34"/>
      <c r="N60" s="34"/>
      <c r="O60" s="34"/>
    </row>
    <row r="61" spans="2:15" ht="30" x14ac:dyDescent="0.3">
      <c r="B61" s="34"/>
      <c r="C61" s="34"/>
      <c r="D61" s="34"/>
      <c r="E61" s="34"/>
      <c r="F61" s="34"/>
      <c r="G61" s="64"/>
      <c r="H61" s="65"/>
      <c r="I61" s="31"/>
      <c r="J61" s="67"/>
      <c r="K61" s="63"/>
      <c r="L61" s="74"/>
      <c r="M61" s="34"/>
      <c r="N61" s="34"/>
      <c r="O61" s="34"/>
    </row>
  </sheetData>
  <mergeCells count="1">
    <mergeCell ref="A3:L3"/>
  </mergeCells>
  <phoneticPr fontId="6" type="noConversion"/>
  <conditionalFormatting sqref="C26">
    <cfRule type="cellIs" dxfId="64" priority="3" operator="greaterThan">
      <formula>0</formula>
    </cfRule>
    <cfRule type="cellIs" dxfId="63" priority="4" operator="lessThan">
      <formula>0</formula>
    </cfRule>
  </conditionalFormatting>
  <conditionalFormatting sqref="B1:B2 B4:B1048576">
    <cfRule type="notContainsBlanks" dxfId="62" priority="2">
      <formula>LEN(TRIM(B1))&gt;0</formula>
    </cfRule>
  </conditionalFormatting>
  <conditionalFormatting sqref="I1:I2 I4:I38 I41:I1048576">
    <cfRule type="notContainsBlanks" dxfId="61" priority="1">
      <formula>LEN(TRIM(I1))&gt;0</formula>
    </cfRule>
  </conditionalFormatting>
  <pageMargins left="0.75" right="0.75" top="1" bottom="1" header="0.5" footer="0.5"/>
  <pageSetup paperSize="3" scale="32" orientation="landscape" horizontalDpi="0" verticalDpi="0"/>
  <ignoredErrors>
    <ignoredError sqref="C9:C11" emptyCellReferenc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C6C5-221D-BD4E-BA9D-5F92D7FEA842}">
  <sheetPr codeName="Sheet7"/>
  <dimension ref="A1:O51"/>
  <sheetViews>
    <sheetView showGridLines="0" workbookViewId="0">
      <selection activeCell="A3" sqref="A3"/>
    </sheetView>
  </sheetViews>
  <sheetFormatPr baseColWidth="10" defaultRowHeight="23" x14ac:dyDescent="0.25"/>
  <cols>
    <col min="1" max="1" width="55.1640625" style="85" bestFit="1" customWidth="1"/>
    <col min="2" max="13" width="20.83203125" style="85" customWidth="1"/>
    <col min="14" max="16384" width="10.83203125" style="85"/>
  </cols>
  <sheetData>
    <row r="1" spans="1:15" ht="28" customHeight="1" x14ac:dyDescent="0.25">
      <c r="A1" s="84" t="s">
        <v>71</v>
      </c>
      <c r="B1" s="84" t="s">
        <v>280</v>
      </c>
      <c r="C1" s="84" t="s">
        <v>281</v>
      </c>
      <c r="D1" s="84" t="s">
        <v>282</v>
      </c>
      <c r="E1" s="84" t="s">
        <v>283</v>
      </c>
      <c r="F1" s="84" t="s">
        <v>284</v>
      </c>
      <c r="G1" s="84" t="s">
        <v>285</v>
      </c>
      <c r="H1" s="84" t="s">
        <v>286</v>
      </c>
      <c r="I1" s="84" t="s">
        <v>287</v>
      </c>
      <c r="J1" s="84" t="s">
        <v>288</v>
      </c>
      <c r="K1" s="84" t="s">
        <v>289</v>
      </c>
      <c r="L1" s="84" t="s">
        <v>290</v>
      </c>
      <c r="M1" s="84" t="s">
        <v>291</v>
      </c>
    </row>
    <row r="2" spans="1:15" x14ac:dyDescent="0.25">
      <c r="A2" s="86" t="str">
        <f>'Categories and Stats'!I9</f>
        <v>Apartment Insurance (State Farm)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</row>
    <row r="3" spans="1:15" x14ac:dyDescent="0.25">
      <c r="A3" s="86" t="str">
        <f>'Categories and Stats'!I10</f>
        <v>Cablevision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O3" s="87"/>
    </row>
    <row r="4" spans="1:15" x14ac:dyDescent="0.25">
      <c r="A4" s="86" t="str">
        <f>'Categories and Stats'!I11</f>
        <v>Gas Electric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</row>
    <row r="5" spans="1:15" x14ac:dyDescent="0.25">
      <c r="A5" s="86" t="str">
        <f>'Categories and Stats'!I12</f>
        <v>Life Insurance (AARP)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</row>
    <row r="6" spans="1:15" x14ac:dyDescent="0.25">
      <c r="A6" s="86" t="str">
        <f>'Categories and Stats'!I13</f>
        <v>Rent</v>
      </c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</row>
    <row r="7" spans="1:15" x14ac:dyDescent="0.25">
      <c r="A7" s="86" t="str">
        <f>'Categories and Stats'!I14</f>
        <v>Storage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</row>
    <row r="8" spans="1:15" x14ac:dyDescent="0.25">
      <c r="A8" s="86" t="str">
        <f>'Categories and Stats'!I15</f>
        <v>Back Blaze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</row>
    <row r="9" spans="1:15" x14ac:dyDescent="0.25">
      <c r="A9" s="86" t="str">
        <f>'Categories and Stats'!I16</f>
        <v>Cleaning Supplies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</row>
    <row r="10" spans="1:15" x14ac:dyDescent="0.25">
      <c r="A10" s="86" t="str">
        <f>'Categories and Stats'!I17</f>
        <v>Flowers</v>
      </c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</row>
    <row r="11" spans="1:15" x14ac:dyDescent="0.25">
      <c r="A11" s="86" t="str">
        <f>'Categories and Stats'!I18</f>
        <v>Gardening</v>
      </c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</row>
    <row r="12" spans="1:15" x14ac:dyDescent="0.25">
      <c r="A12" s="86" t="str">
        <f>'Categories and Stats'!I19</f>
        <v>Household Furnishings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</row>
    <row r="13" spans="1:15" x14ac:dyDescent="0.25">
      <c r="A13" s="86" t="str">
        <f>'Categories and Stats'!I20</f>
        <v>Housekeeper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</row>
    <row r="14" spans="1:15" x14ac:dyDescent="0.25">
      <c r="A14" s="86" t="str">
        <f>'Categories and Stats'!I21</f>
        <v>Laundry</v>
      </c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</row>
    <row r="15" spans="1:15" x14ac:dyDescent="0.25">
      <c r="A15" s="86" t="str">
        <f>'Categories and Stats'!I22</f>
        <v>Lucille Metheny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</row>
    <row r="16" spans="1:15" x14ac:dyDescent="0.25">
      <c r="A16" s="86" t="str">
        <f>'Categories and Stats'!I23</f>
        <v>Maintenance Repair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</row>
    <row r="17" spans="1:13" x14ac:dyDescent="0.25">
      <c r="A17" s="86" t="str">
        <f>'Categories and Stats'!I24</f>
        <v>Amazon v5475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</row>
    <row r="18" spans="1:13" x14ac:dyDescent="0.25">
      <c r="A18" s="86" t="str">
        <f>'Categories and Stats'!I25</f>
        <v>Home Depot - 3655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</row>
    <row r="19" spans="1:13" x14ac:dyDescent="0.25">
      <c r="A19" s="86" t="str">
        <f>'Categories and Stats'!I26</f>
        <v>Bank Fees</v>
      </c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</row>
    <row r="20" spans="1:13" x14ac:dyDescent="0.25">
      <c r="A20" s="86" t="str">
        <f>'Categories and Stats'!I27</f>
        <v>Food Out</v>
      </c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</row>
    <row r="21" spans="1:13" x14ac:dyDescent="0.25">
      <c r="A21" s="86" t="str">
        <f>'Categories and Stats'!I28</f>
        <v>Grocery Store</v>
      </c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</row>
    <row r="22" spans="1:13" x14ac:dyDescent="0.25">
      <c r="A22" s="86" t="str">
        <f>'Categories and Stats'!I29</f>
        <v>Wine</v>
      </c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</row>
    <row r="23" spans="1:13" x14ac:dyDescent="0.25">
      <c r="A23" s="86" t="str">
        <f>'Categories and Stats'!I30</f>
        <v>Car Rental</v>
      </c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</row>
    <row r="24" spans="1:13" x14ac:dyDescent="0.25">
      <c r="A24" s="86" t="str">
        <f>'Categories and Stats'!I31</f>
        <v>Public Transit</v>
      </c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</row>
    <row r="25" spans="1:13" x14ac:dyDescent="0.25">
      <c r="A25" s="86" t="str">
        <f>'Categories and Stats'!I32</f>
        <v>Taxi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</row>
    <row r="26" spans="1:13" x14ac:dyDescent="0.25">
      <c r="A26" s="86" t="str">
        <f>'Categories and Stats'!I33</f>
        <v>Travel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</row>
    <row r="27" spans="1:13" x14ac:dyDescent="0.25">
      <c r="A27" s="86" t="str">
        <f>'Categories and Stats'!I34</f>
        <v>Accessories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</row>
    <row r="28" spans="1:13" x14ac:dyDescent="0.25">
      <c r="A28" s="86" t="str">
        <f>'Categories and Stats'!I35</f>
        <v>Body Care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</row>
    <row r="29" spans="1:13" x14ac:dyDescent="0.25">
      <c r="A29" s="86" t="str">
        <f>'Categories and Stats'!I36</f>
        <v>Clothes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</row>
    <row r="30" spans="1:13" x14ac:dyDescent="0.25">
      <c r="A30" s="86" t="str">
        <f>'Categories and Stats'!I37</f>
        <v>Entertainment Subscription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</row>
    <row r="31" spans="1:13" x14ac:dyDescent="0.25">
      <c r="A31" s="86" t="e">
        <f>'Categories and Stats'!#REF!</f>
        <v>#REF!</v>
      </c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</row>
    <row r="32" spans="1:13" x14ac:dyDescent="0.25">
      <c r="A32" s="86" t="str">
        <f>'Categories and Stats'!I38</f>
        <v>Yoga/Gym</v>
      </c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</row>
    <row r="33" spans="1:13" x14ac:dyDescent="0.25">
      <c r="A33" s="86" t="str">
        <f>'Categories and Stats'!I40</f>
        <v>Robert Rich</v>
      </c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</row>
    <row r="34" spans="1:13" x14ac:dyDescent="0.25">
      <c r="A34" s="86" t="str">
        <f>'Categories and Stats'!I41</f>
        <v>Donations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</row>
    <row r="35" spans="1:13" x14ac:dyDescent="0.25">
      <c r="A35" s="86" t="str">
        <f>'Categories and Stats'!I42</f>
        <v>Gift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</row>
    <row r="36" spans="1:13" x14ac:dyDescent="0.25">
      <c r="A36" s="86" t="str">
        <f>'Categories and Stats'!I43</f>
        <v>Long Term Health Care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</row>
    <row r="37" spans="1:13" x14ac:dyDescent="0.25">
      <c r="A37" s="86" t="str">
        <f>'Categories and Stats'!I44</f>
        <v>Medical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</row>
    <row r="38" spans="1:13" x14ac:dyDescent="0.25">
      <c r="A38" s="86" t="str">
        <f>'Categories and Stats'!I45</f>
        <v>Over the counter (OTC)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</row>
    <row r="39" spans="1:13" x14ac:dyDescent="0.25">
      <c r="A39" s="86" t="str">
        <f>'Categories and Stats'!I46</f>
        <v>Parsons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</row>
    <row r="40" spans="1:13" x14ac:dyDescent="0.25">
      <c r="A40" s="86" t="str">
        <f>'Categories and Stats'!I47</f>
        <v>United Health Insurance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</row>
    <row r="41" spans="1:13" x14ac:dyDescent="0.25">
      <c r="A41" s="86" t="str">
        <f>'Categories and Stats'!I48</f>
        <v>Federal Taxes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</row>
    <row r="42" spans="1:13" x14ac:dyDescent="0.25">
      <c r="A42" s="86" t="str">
        <f>'Categories and Stats'!I49</f>
        <v>New Jersey State Tax</v>
      </c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</row>
    <row r="43" spans="1:13" x14ac:dyDescent="0.25">
      <c r="A43" s="86" t="str">
        <f>'Categories and Stats'!I50</f>
        <v>New York State Tax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</row>
    <row r="44" spans="1:13" x14ac:dyDescent="0.25">
      <c r="A44" s="86" t="str">
        <f>'Categories and Stats'!I51</f>
        <v>Movies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</row>
    <row r="45" spans="1:13" x14ac:dyDescent="0.25">
      <c r="A45" s="86" t="str">
        <f>'Categories and Stats'!I52</f>
        <v>Personal Subscriptions</v>
      </c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</row>
    <row r="46" spans="1:13" x14ac:dyDescent="0.25">
      <c r="A46" s="86">
        <f>'Categories and Stats'!I53</f>
        <v>0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</row>
    <row r="47" spans="1:13" x14ac:dyDescent="0.25">
      <c r="A47" s="86">
        <f>'Categories and Stats'!I54</f>
        <v>0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</row>
    <row r="48" spans="1:13" x14ac:dyDescent="0.25">
      <c r="A48" s="86">
        <f>'Categories and Stats'!I55</f>
        <v>0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</row>
    <row r="49" spans="1:13" x14ac:dyDescent="0.25">
      <c r="A49" s="86">
        <f>'Categories and Stats'!I56</f>
        <v>0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</row>
    <row r="50" spans="1:13" x14ac:dyDescent="0.25">
      <c r="A50" s="86">
        <f>'Categories and Stats'!I57</f>
        <v>0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</row>
    <row r="51" spans="1:13" x14ac:dyDescent="0.25">
      <c r="A51" s="86">
        <f>'Categories and Stats'!I58</f>
        <v>0</v>
      </c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</row>
  </sheetData>
  <conditionalFormatting sqref="B1:B51">
    <cfRule type="expression" dxfId="60" priority="14">
      <formula>MONTH(TODAY())=1</formula>
    </cfRule>
  </conditionalFormatting>
  <conditionalFormatting sqref="G1:G51">
    <cfRule type="expression" dxfId="59" priority="11">
      <formula>MONTH(TODAY())=6</formula>
    </cfRule>
  </conditionalFormatting>
  <conditionalFormatting sqref="D1:D51">
    <cfRule type="expression" dxfId="58" priority="10">
      <formula>MONTH(TODAY())=3</formula>
    </cfRule>
  </conditionalFormatting>
  <conditionalFormatting sqref="H1:H51">
    <cfRule type="expression" dxfId="57" priority="9">
      <formula>MONTH(TODAY())=7</formula>
    </cfRule>
  </conditionalFormatting>
  <conditionalFormatting sqref="C1:C51">
    <cfRule type="expression" dxfId="56" priority="8">
      <formula>MONTH(TODAY())=2</formula>
    </cfRule>
  </conditionalFormatting>
  <conditionalFormatting sqref="E1:E51">
    <cfRule type="expression" dxfId="55" priority="7">
      <formula>MONTH(TODAY())=4</formula>
    </cfRule>
  </conditionalFormatting>
  <conditionalFormatting sqref="F1:F51">
    <cfRule type="expression" dxfId="54" priority="6">
      <formula>MONTH(TODAY())=5</formula>
    </cfRule>
  </conditionalFormatting>
  <conditionalFormatting sqref="I1:I51">
    <cfRule type="expression" dxfId="53" priority="5">
      <formula>MONTH(TODAY())=8</formula>
    </cfRule>
  </conditionalFormatting>
  <conditionalFormatting sqref="J1:J51">
    <cfRule type="expression" dxfId="52" priority="4">
      <formula>MONTH(TODAY())=9</formula>
    </cfRule>
  </conditionalFormatting>
  <conditionalFormatting sqref="K1">
    <cfRule type="expression" dxfId="51" priority="3">
      <formula>MONTH(TODAY())=10</formula>
    </cfRule>
  </conditionalFormatting>
  <conditionalFormatting sqref="L1:L51">
    <cfRule type="expression" dxfId="50" priority="2">
      <formula>MONTH(TODAY())=11</formula>
    </cfRule>
  </conditionalFormatting>
  <conditionalFormatting sqref="M1:M51">
    <cfRule type="expression" dxfId="49" priority="1">
      <formula>MONTH(TODAY())=12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6"/>
  <sheetViews>
    <sheetView showGridLines="0" topLeftCell="E1" zoomScale="240" zoomScaleNormal="240" workbookViewId="0">
      <selection activeCell="H4" sqref="H4"/>
    </sheetView>
  </sheetViews>
  <sheetFormatPr baseColWidth="10" defaultRowHeight="13" x14ac:dyDescent="0.15"/>
  <cols>
    <col min="1" max="1" width="21.33203125" customWidth="1"/>
    <col min="2" max="2" width="11.33203125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1" ht="27" customHeight="1" x14ac:dyDescent="0.15">
      <c r="A1" s="13" t="s">
        <v>51</v>
      </c>
      <c r="B1" s="13" t="s">
        <v>52</v>
      </c>
      <c r="C1" s="12"/>
      <c r="D1" s="13" t="s">
        <v>53</v>
      </c>
      <c r="E1" s="13" t="s">
        <v>52</v>
      </c>
      <c r="F1" s="13" t="s">
        <v>30</v>
      </c>
      <c r="G1" s="12"/>
      <c r="H1" s="13" t="s">
        <v>31</v>
      </c>
      <c r="I1" s="13" t="s">
        <v>52</v>
      </c>
      <c r="J1" s="13" t="s">
        <v>30</v>
      </c>
      <c r="K1" s="12"/>
    </row>
    <row r="2" spans="1:11" x14ac:dyDescent="0.15">
      <c r="A2" s="6" t="s">
        <v>48</v>
      </c>
      <c r="B2" s="6">
        <v>4256752069</v>
      </c>
      <c r="D2" s="6" t="s">
        <v>49</v>
      </c>
      <c r="E2" s="6">
        <v>4978</v>
      </c>
      <c r="F2" s="9">
        <v>43039</v>
      </c>
      <c r="H2" s="69" t="s">
        <v>298</v>
      </c>
      <c r="I2" s="6">
        <v>5474</v>
      </c>
      <c r="J2" s="10">
        <v>43465</v>
      </c>
    </row>
    <row r="3" spans="1:11" x14ac:dyDescent="0.15">
      <c r="A3" s="6"/>
      <c r="B3" s="6"/>
      <c r="D3" s="6" t="s">
        <v>50</v>
      </c>
      <c r="E3" s="6">
        <v>1621</v>
      </c>
      <c r="F3" s="9">
        <v>42855</v>
      </c>
      <c r="H3" s="69" t="s">
        <v>299</v>
      </c>
      <c r="I3" s="6">
        <v>3655</v>
      </c>
      <c r="J3" s="94">
        <v>42490</v>
      </c>
    </row>
    <row r="4" spans="1:11" x14ac:dyDescent="0.15">
      <c r="H4" s="6"/>
      <c r="I4" s="6"/>
      <c r="J4" s="11"/>
    </row>
    <row r="5" spans="1:11" x14ac:dyDescent="0.15">
      <c r="H5" s="6"/>
      <c r="I5" s="6"/>
      <c r="J5" s="10"/>
    </row>
    <row r="6" spans="1:11" x14ac:dyDescent="0.15">
      <c r="H6" s="6"/>
      <c r="I6" s="6"/>
      <c r="J6" s="10"/>
    </row>
  </sheetData>
  <phoneticPr fontId="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3611D-6136-A248-A624-1D6D9375A5E1}">
  <sheetPr codeName="Sheet6"/>
  <dimension ref="A1:L1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9" sqref="G9"/>
    </sheetView>
  </sheetViews>
  <sheetFormatPr baseColWidth="10" defaultRowHeight="13" x14ac:dyDescent="0.15"/>
  <cols>
    <col min="1" max="1" width="13.6640625" bestFit="1" customWidth="1"/>
    <col min="2" max="2" width="1.33203125" customWidth="1"/>
    <col min="3" max="3" width="30.33203125" customWidth="1"/>
    <col min="4" max="4" width="20" bestFit="1" customWidth="1"/>
    <col min="5" max="5" width="23" bestFit="1" customWidth="1"/>
    <col min="6" max="6" width="12.83203125" bestFit="1" customWidth="1"/>
    <col min="7" max="7" width="15.33203125" bestFit="1" customWidth="1"/>
    <col min="8" max="8" width="24.1640625" bestFit="1" customWidth="1"/>
    <col min="10" max="10" width="21.83203125" bestFit="1" customWidth="1"/>
    <col min="11" max="11" width="19.6640625" bestFit="1" customWidth="1"/>
    <col min="12" max="12" width="20" bestFit="1" customWidth="1"/>
  </cols>
  <sheetData>
    <row r="1" spans="1:12" ht="24" customHeight="1" x14ac:dyDescent="0.15">
      <c r="A1" s="82" t="s">
        <v>71</v>
      </c>
      <c r="C1" s="81" t="s">
        <v>268</v>
      </c>
      <c r="D1" s="98" t="s">
        <v>269</v>
      </c>
      <c r="E1" s="98" t="s">
        <v>301</v>
      </c>
      <c r="F1" s="98" t="s">
        <v>294</v>
      </c>
      <c r="G1" s="98" t="s">
        <v>295</v>
      </c>
      <c r="H1" s="98" t="s">
        <v>302</v>
      </c>
      <c r="I1" s="98" t="s">
        <v>296</v>
      </c>
      <c r="J1" s="98" t="s">
        <v>303</v>
      </c>
      <c r="K1" s="98" t="s">
        <v>304</v>
      </c>
      <c r="L1" s="98" t="s">
        <v>305</v>
      </c>
    </row>
    <row r="2" spans="1:12" x14ac:dyDescent="0.15">
      <c r="A2" s="15" t="s">
        <v>268</v>
      </c>
      <c r="C2" s="79" t="s">
        <v>37</v>
      </c>
      <c r="D2" s="96" t="s">
        <v>61</v>
      </c>
      <c r="E2" s="100" t="s">
        <v>272</v>
      </c>
      <c r="F2" s="96" t="s">
        <v>15</v>
      </c>
      <c r="G2" s="96" t="s">
        <v>273</v>
      </c>
      <c r="H2" s="100" t="s">
        <v>44</v>
      </c>
      <c r="I2" s="96" t="s">
        <v>275</v>
      </c>
      <c r="J2" s="96" t="s">
        <v>64</v>
      </c>
      <c r="K2" s="96" t="s">
        <v>160</v>
      </c>
      <c r="L2" s="103" t="s">
        <v>306</v>
      </c>
    </row>
    <row r="3" spans="1:12" x14ac:dyDescent="0.15">
      <c r="A3" s="15" t="s">
        <v>269</v>
      </c>
      <c r="C3" s="79" t="s">
        <v>32</v>
      </c>
      <c r="D3" s="96" t="s">
        <v>69</v>
      </c>
      <c r="E3" s="101" t="s">
        <v>299</v>
      </c>
      <c r="F3" s="96" t="s">
        <v>17</v>
      </c>
      <c r="G3" s="96" t="s">
        <v>38</v>
      </c>
      <c r="H3" s="96" t="s">
        <v>46</v>
      </c>
      <c r="I3" s="102" t="s">
        <v>276</v>
      </c>
      <c r="J3" s="96" t="s">
        <v>182</v>
      </c>
      <c r="K3" s="96" t="s">
        <v>91</v>
      </c>
      <c r="L3" s="100" t="s">
        <v>307</v>
      </c>
    </row>
    <row r="4" spans="1:12" x14ac:dyDescent="0.15">
      <c r="A4" s="15" t="s">
        <v>301</v>
      </c>
      <c r="C4" s="69" t="s">
        <v>42</v>
      </c>
      <c r="D4" s="96" t="s">
        <v>168</v>
      </c>
      <c r="E4" s="101" t="s">
        <v>271</v>
      </c>
      <c r="F4" s="102" t="s">
        <v>70</v>
      </c>
      <c r="G4" s="96" t="s">
        <v>12</v>
      </c>
      <c r="H4" s="96" t="s">
        <v>22</v>
      </c>
      <c r="J4" s="96" t="s">
        <v>278</v>
      </c>
      <c r="K4" s="102" t="s">
        <v>279</v>
      </c>
      <c r="L4" s="102"/>
    </row>
    <row r="5" spans="1:12" x14ac:dyDescent="0.15">
      <c r="A5" s="15" t="s">
        <v>294</v>
      </c>
      <c r="C5" s="79" t="s">
        <v>16</v>
      </c>
      <c r="D5" s="96" t="s">
        <v>33</v>
      </c>
      <c r="G5" s="102" t="s">
        <v>224</v>
      </c>
      <c r="H5" s="96" t="s">
        <v>14</v>
      </c>
      <c r="J5" s="96" t="s">
        <v>24</v>
      </c>
    </row>
    <row r="6" spans="1:12" x14ac:dyDescent="0.15">
      <c r="A6" s="15" t="s">
        <v>295</v>
      </c>
      <c r="C6" s="79" t="s">
        <v>153</v>
      </c>
      <c r="D6" s="96" t="s">
        <v>177</v>
      </c>
      <c r="H6" s="102" t="s">
        <v>274</v>
      </c>
      <c r="J6" s="96" t="s">
        <v>45</v>
      </c>
    </row>
    <row r="7" spans="1:12" x14ac:dyDescent="0.15">
      <c r="A7" s="15" t="s">
        <v>302</v>
      </c>
      <c r="C7" s="80" t="s">
        <v>41</v>
      </c>
      <c r="D7" s="96" t="s">
        <v>13</v>
      </c>
      <c r="J7" s="96" t="s">
        <v>72</v>
      </c>
    </row>
    <row r="8" spans="1:12" x14ac:dyDescent="0.15">
      <c r="A8" s="15" t="s">
        <v>296</v>
      </c>
      <c r="C8" s="104" t="s">
        <v>308</v>
      </c>
      <c r="D8" s="97" t="s">
        <v>27</v>
      </c>
      <c r="J8" s="102" t="s">
        <v>277</v>
      </c>
    </row>
    <row r="9" spans="1:12" x14ac:dyDescent="0.15">
      <c r="A9" s="15" t="s">
        <v>303</v>
      </c>
      <c r="D9" s="99" t="s">
        <v>270</v>
      </c>
      <c r="J9" s="102"/>
    </row>
    <row r="10" spans="1:12" x14ac:dyDescent="0.15">
      <c r="A10" s="15" t="s">
        <v>304</v>
      </c>
      <c r="J10" s="107"/>
    </row>
    <row r="11" spans="1:12" x14ac:dyDescent="0.15">
      <c r="A11" s="15" t="s">
        <v>305</v>
      </c>
      <c r="J11" s="107"/>
    </row>
    <row r="12" spans="1:12" x14ac:dyDescent="0.15">
      <c r="A12" s="15"/>
      <c r="J12" s="107"/>
    </row>
    <row r="13" spans="1:12" x14ac:dyDescent="0.15">
      <c r="J13" s="107"/>
    </row>
    <row r="14" spans="1:12" x14ac:dyDescent="0.15">
      <c r="J14" s="107"/>
    </row>
    <row r="15" spans="1:12" x14ac:dyDescent="0.15">
      <c r="J15" s="107"/>
    </row>
    <row r="16" spans="1:12" x14ac:dyDescent="0.15">
      <c r="J16" s="107"/>
    </row>
    <row r="17" spans="10:10" x14ac:dyDescent="0.15">
      <c r="J17" s="107"/>
    </row>
    <row r="18" spans="10:10" x14ac:dyDescent="0.15">
      <c r="J18" s="107"/>
    </row>
    <row r="19" spans="10:10" x14ac:dyDescent="0.15">
      <c r="J19" s="107"/>
    </row>
  </sheetData>
  <sortState ref="K9:K11">
    <sortCondition ref="K9"/>
  </sortState>
  <conditionalFormatting sqref="C2:C8">
    <cfRule type="notContainsBlanks" dxfId="48" priority="1">
      <formula>LEN(TRIM(C2))&gt;0</formula>
    </cfRule>
  </conditionalFormatting>
  <dataValidations count="1">
    <dataValidation type="list" allowBlank="1" showInputMessage="1" showErrorMessage="1" sqref="C7" xr:uid="{A932BF7D-D993-7949-B47D-53E13EDD4AB0}">
      <formula1>expenses</formula1>
    </dataValidation>
  </dataValidations>
  <pageMargins left="0.7" right="0.7" top="0.75" bottom="0.75" header="0.3" footer="0.3"/>
  <pageSetup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Income</vt:lpstr>
      <vt:lpstr>Expenses</vt:lpstr>
      <vt:lpstr>Credit Card Purchases</vt:lpstr>
      <vt:lpstr>Categories and Stats</vt:lpstr>
      <vt:lpstr>Yearly Spending Plan</vt:lpstr>
      <vt:lpstr>DebitCredit Card Bank Acct Data</vt:lpstr>
      <vt:lpstr>Personal Category Dropdowns</vt:lpstr>
      <vt:lpstr>Bills</vt:lpstr>
      <vt:lpstr>Categories</vt:lpstr>
      <vt:lpstr>Credit_Cards</vt:lpstr>
      <vt:lpstr>Debts</vt:lpstr>
      <vt:lpstr>entertainment</vt:lpstr>
      <vt:lpstr>expenseAmtLog</vt:lpstr>
      <vt:lpstr>ExpenseCatLog</vt:lpstr>
      <vt:lpstr>expenseDateLog</vt:lpstr>
      <vt:lpstr>ExpenseLog</vt:lpstr>
      <vt:lpstr>Food</vt:lpstr>
      <vt:lpstr>Household</vt:lpstr>
      <vt:lpstr>IncomeAmtLog</vt:lpstr>
      <vt:lpstr>IncomeCatLog</vt:lpstr>
      <vt:lpstr>IncomeDateLog</vt:lpstr>
      <vt:lpstr>IncomeLog</vt:lpstr>
      <vt:lpstr>'Categories and Stats'!Print_Area</vt:lpstr>
      <vt:lpstr>Self_Care</vt:lpstr>
      <vt:lpstr>Tax_Deduct</vt:lpstr>
      <vt:lpstr>Taxes</vt:lpstr>
      <vt:lpstr>Transport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2018-06-07T18:58:24Z</cp:lastPrinted>
  <dcterms:created xsi:type="dcterms:W3CDTF">2018-03-06T19:48:04Z</dcterms:created>
  <dcterms:modified xsi:type="dcterms:W3CDTF">2018-07-05T23:19:55Z</dcterms:modified>
</cp:coreProperties>
</file>